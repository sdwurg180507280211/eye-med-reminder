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f1d5495c2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滴眼液图文目录" sheetId="1" r:id="R65faad6179c44dd4"/>
    <x:sheet xmlns:r="http://schemas.openxmlformats.org/officeDocument/2006/relationships" name="说明书与图片来源" sheetId="2" r:id="Rd18acc3063404dff"/>
    <x:sheet xmlns:r="http://schemas.openxmlformats.org/officeDocument/2006/relationships" name="阅读说明" sheetId="3" r:id="R17ab5abc51ec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9"/>
      <x:color rgb="FFFFFFFF"/>
      <x:name val="Carlito"/>
    </x:font>
    <x:font>
      <x:sz val="11"/>
      <x:color rgb="FF18395A"/>
      <x:name val="Carlito"/>
    </x:font>
    <x:font>
      <x:sz val="10"/>
      <x:color rgb="FF995010"/>
      <x:name val="Carlito"/>
    </x:font>
    <x:font>
      <x:b/>
      <x:sz val="10"/>
      <x:color rgb="FFFFFFFF"/>
      <x:name val="Carlito"/>
    </x:font>
    <x:font>
      <x:sz val="11"/>
      <x:color rgb="FFA35C18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95A"/>
      </x:patternFill>
    </x:fill>
    <x:fill>
      <x:patternFill patternType="solid">
        <x:fgColor rgb="FFE9F4FA"/>
      </x:patternFill>
    </x:fill>
    <x:fill>
      <x:patternFill patternType="solid">
        <x:fgColor rgb="FFFFF3E5"/>
      </x:patternFill>
    </x:fill>
    <x:fill>
      <x:patternFill patternType="solid">
        <x:fgColor rgb="FF1E658F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da51db65946f2" /><Relationship Type="http://schemas.openxmlformats.org/officeDocument/2006/relationships/theme" Target="/xl/theme/theme1.xml" Id="Raec3d78fa11a41b4" /><Relationship Type="http://schemas.openxmlformats.org/officeDocument/2006/relationships/sharedStrings" Target="/xl/sharedStrings.xml" Id="Rb789c9340f00424f" /><Relationship Type="http://schemas.openxmlformats.org/officeDocument/2006/relationships/worksheet" Target="/xl/worksheets/sheet1.xml" Id="R65faad6179c44dd4" /><Relationship Type="http://schemas.openxmlformats.org/officeDocument/2006/relationships/worksheet" Target="/xl/worksheets/sheet2.xml" Id="Rd18acc3063404dff" /><Relationship Type="http://schemas.openxmlformats.org/officeDocument/2006/relationships/worksheet" Target="/xl/worksheets/sheet3.xml" Id="R17ab5abc51ec4d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5a94d911c2b42d7" /></Relationships>
</file>

<file path=xl/drawings/drawing1.xml><?xml version="1.0" encoding="utf-8"?>
<xdr:wsDr xmlns:xdr="http://schemas.openxmlformats.org/drawingml/2006/spreadsheetDrawing">
  <xdr:oneCellAnchor>
    <xdr:from>
      <xdr:col>6</xdr:col>
      <xdr:colOff>285750</xdr:colOff>
      <xdr:row>10</xdr:row>
      <xdr:rowOff>38100</xdr:rowOff>
    </xdr:from>
    <xdr:ext cx="952500" cy="990600"/>
    <xdr:pic>
      <xdr:nvPicPr>
        <xdr:cNvPr id="1" name="86eaff14-a156-4b40-b01a-406f825684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a94d911c2b42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OphthalmicDropsTable" displayName="OphthalmicDropsTable" ref="A5:L43" headerRowCount="1" totalsRowCount="0" totalsRowShown="0">
  <x:tableColumns count="12">
    <x:tableColumn id="1" name="序号"/>
    <x:tableColumn id="2" name="药品名称（原表）"/>
    <x:tableColumn id="3" name="规格（原表）"/>
    <x:tableColumn id="4" name="用途分类"/>
    <x:tableColumn id="5" name="适应症（说明书摘要）"/>
    <x:tableColumn id="6" name="推荐用法用量（说明书摘要）"/>
    <x:tableColumn id="7" name="完整药瓶照片"/>
    <x:tableColumn id="8" name="照片说明／匹配状态"/>
    <x:tableColumn id="9" name="查看照片来源"/>
    <x:tableColumn id="10" name="查看说明书／资料"/>
    <x:tableColumn id="11" name="生产厂家（原表）"/>
    <x:tableColumn id="12" name="原表行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yeDropPhotoSources" displayName="EyeDropPhotoSources" ref="A1:I39" headerRowCount="1" totalsRowCount="0" totalsRowShown="0">
  <x:tableColumns count="9">
    <x:tableColumn id="1" name="序号"/>
    <x:tableColumn id="2" name="药品名称"/>
    <x:tableColumn id="3" name="规格"/>
    <x:tableColumn id="4" name="图片直链（Microsoft 365预览）"/>
    <x:tableColumn id="5" name="图片出处网页／检索链接"/>
    <x:tableColumn id="6" name="药品说明书及适应症来源"/>
    <x:tableColumn id="7" name="图片核验说明"/>
    <x:tableColumn id="8" name="用法信息状态"/>
    <x:tableColumn id="9" name="源表行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e4b03b1e2e4052" /><Relationship Type="http://schemas.openxmlformats.org/officeDocument/2006/relationships/table" Target="/xl/tables/table1.xml" Id="R760c8939380f49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dca7741be94fdf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3" hidden="0" customWidth="1"/>
    <x:col min="3" max="3" width="30" hidden="0" customWidth="1"/>
    <x:col min="4" max="4" width="15" hidden="0" customWidth="1"/>
    <x:col min="5" max="5" width="48" hidden="0" customWidth="1"/>
    <x:col min="6" max="6" width="59" hidden="0" customWidth="1"/>
    <x:col min="7" max="7" width="25" hidden="0" customWidth="1"/>
    <x:col min="8" max="8" width="30" hidden="0" customWidth="1"/>
    <x:col min="9" max="9" width="19" hidden="0" customWidth="1"/>
    <x:col min="10" max="10" width="23" hidden="0" customWidth="1"/>
    <x:col min="11" max="11" width="39" hidden="0" customWidth="1"/>
    <x:col min="12" max="12" width="16" hidden="0" customWidth="1"/>
  </x:cols>
  <x:sheetData>
    <x:row r="1" ht="42" customHeight="1">
      <x:c r="A1" s="4" t="str">
        <x:v>眼科药房｜滴眼液图文查阅目录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9" t="str">
        <x:v>源文件：药房药品明细(1).xls  ·  42条滴眼液记录  ·  去重后38款（不同规格分别保留）  ·  2026-10-29整理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30" customHeight="1">
      <x:c r="A3" s="13" t="str">
        <x:v>照片说明：海露0.1%使用您提供的离线原图；其他药瓶图采用Microsoft 365可联网加载的图片预览，并附原网页；未匹配者标记待补，绝不以不同规格冒充。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5" ht="40" customHeight="1">
      <x:c r="A5" s="20" t="str">
        <x:v>序号</x:v>
      </x:c>
      <x:c r="B5" s="20" t="str">
        <x:v>药品名称（原表）</x:v>
      </x:c>
      <x:c r="C5" s="20" t="str">
        <x:v>规格（原表）</x:v>
      </x:c>
      <x:c r="D5" s="20" t="str">
        <x:v>用途分类</x:v>
      </x:c>
      <x:c r="E5" s="20" t="str">
        <x:v>适应症（说明书摘要）</x:v>
      </x:c>
      <x:c r="F5" s="20" t="str">
        <x:v>推荐用法用量（说明书摘要）</x:v>
      </x:c>
      <x:c r="G5" s="20" t="str">
        <x:v>完整药瓶照片</x:v>
      </x:c>
      <x:c r="H5" s="20" t="str">
        <x:v>照片说明／匹配状态</x:v>
      </x:c>
      <x:c r="I5" s="20" t="str">
        <x:v>查看照片来源</x:v>
      </x:c>
      <x:c r="J5" s="20" t="str">
        <x:v>查看说明书／资料</x:v>
      </x:c>
      <x:c r="K5" s="20" t="str">
        <x:v>生产厂家（原表）</x:v>
      </x:c>
      <x:c r="L5" s="20" t="str">
        <x:v>原表行号</x:v>
      </x:c>
    </x:row>
    <x:row r="6" ht="112" customHeight="1">
      <x:c r="A6" s="30" t="n">
        <x:v>1</x:v>
      </x:c>
      <x:c r="B6" s="30" t="str">
        <x:v>盐酸奥布卡因滴眼液（倍诺喜）</x:v>
      </x:c>
      <x:c r="C6" s="30" t="str">
        <x:v>0.5ml*10支 0.4%</x:v>
      </x:c>
      <x:c r="D6" s="30" t="str">
        <x:v>散瞳／检查</x:v>
      </x:c>
      <x:c r="E6" s="30" t="str">
        <x:v>眼科操作所需的眼表表面麻醉。</x:v>
      </x:c>
      <x:c r="F6" s="30" t="str">
        <x:v>一般成人滴眼1～4滴，可按年龄、体质调整；仅由眼科医务人员用于检查或操作，单剂量使用后弃余液。</x:v>
      </x:c>
      <x:c r="G6" s="34" t="str">
        <x:v>暂缺完整药瓶照片</x:v>
      </x:c>
      <x:c r="H6" s="36" t="str">
        <x:v>仅有外盒图，药瓶待补</x:v>
      </x:c>
      <x:c r="I6" s="30" t="e">
        <x:f>HYPERLINK("https://www.315jiage.cn/n422159","查看包装照片")</x:f>
        <x:v>HYPERLINK is not implemented. linkLocation=https://www.315jiage.cn/n422159, friendlyName=查看包装照片</x:v>
      </x:c>
      <x:c r="J6" s="30" t="e">
        <x:f>HYPERLINK("https://www.liangjian11.com/Product?pcode=951924","查看说明书/来源")</x:f>
        <x:v>HYPERLINK is not implemented. linkLocation=https://www.liangjian11.com/Product?pcode=951924, friendlyName=查看说明书/来源</x:v>
      </x:c>
      <x:c r="K6" s="30" t="str">
        <x:v>参天制药（中国）有限公司</x:v>
      </x:c>
      <x:c r="L6" s="30" t="str">
        <x:v>3</x:v>
      </x:c>
    </x:row>
    <x:row r="7" ht="112" customHeight="1">
      <x:c r="A7" s="28" t="n">
        <x:v>2</x:v>
      </x:c>
      <x:c r="B7" s="28" t="str">
        <x:v>氧氟沙星滴眼液</x:v>
      </x:c>
      <x:c r="C7" s="28" t="str">
        <x:v>5ml:15mg</x:v>
      </x:c>
      <x:c r="D7" s="28" t="str">
        <x:v>抗菌</x:v>
      </x:c>
      <x:c r="E7" s="28" t="str">
        <x:v>敏感细菌所致结膜炎、角膜炎等外眼部感染</x:v>
      </x:c>
      <x:c r="F7" s="28" t="str">
        <x:v>滴眼；一般1滴，每日3次，疗程按感染情况决定；核对武汉五景制剂说明书。</x:v>
      </x:c>
      <x:c r="G7" s="34" t="str">
        <x:v>暂缺完整药瓶照片</x:v>
      </x:c>
      <x:c r="H7" s="40" t="str">
        <x:v>仅有外盒图，药瓶待补</x:v>
      </x:c>
      <x:c r="I7" s="28" t="e">
        <x:f>HYPERLINK("https://health.baidu.com/malls/goods/db2c_164060294452114340_384088016065593344","查看包装照片")</x:f>
        <x:v>HYPERLINK is not implemented. linkLocation=https://health.baidu.com/malls/goods/db2c_164060294452114340_384088016065593344, friendlyName=查看包装照片</x:v>
      </x:c>
      <x:c r="J7" s="40" t="str">
        <x:v>待核原说明书</x:v>
      </x:c>
      <x:c r="K7" s="28" t="str">
        <x:v>武汉五景药业有限公司</x:v>
      </x:c>
      <x:c r="L7" s="28" t="str">
        <x:v>4</x:v>
      </x:c>
    </x:row>
    <x:row r="8" ht="112" customHeight="1">
      <x:c r="A8" s="30" t="n">
        <x:v>3</x:v>
      </x:c>
      <x:c r="B8" s="30" t="str">
        <x:v>妥布霉素地塞米松滴眼液（典必殊眼液）</x:v>
      </x:c>
      <x:c r="C8" s="30" t="str">
        <x:v>5ml：15mg：5mg*1支</x:v>
      </x:c>
      <x:c r="D8" s="30" t="str">
        <x:v>抗菌</x:v>
      </x:c>
      <x:c r="E8" s="30" t="str">
        <x:v>对激素敏感的眼部炎症，伴细菌感染或感染风险</x:v>
      </x:c>
      <x:c r="F8" s="30" t="str">
        <x:v>滴眼1～2滴，每4～6小时1次；初期可每2小时1次，改善后减量；用前摇匀。</x:v>
      </x:c>
      <x:c r="G8" s="34" t="str">
        <x:v>暂缺完整药瓶照片</x:v>
      </x:c>
      <x:c r="H8" s="36" t="str">
        <x:v>药瓶图待补</x:v>
      </x:c>
      <x:c r="I8" s="30" t="e">
        <x:f>HYPERLINK("https://www.bing.com/images/search?q=%E5%A6%A5%E5%B8%83%E9%9C%89%E7%B4%A0%E5%9C%B0%E5%A1%9E%E7%B1%B3%E6%9D%BE%E6%BB%B4%E7%9C%BC%E6%B6%B2%EF%BC%88%E5%85%B8%E5%BF%85%E6%AE%8A%E7%9C%BC%E6%B6%B2%EF%BC%89%205ml%EF%BC%9A15mg%EF%BC%9A5mg%2A1%E6%94%AF%20s.a.ALCON-COUVREURn.v.%20%E5%AE%8C%E6%95%B4%E8%8D%AF%E7%93%B6%20%E5%A4%96%E7%9B%92","查看包装照片")</x:f>
        <x:v>HYPERLINK is not implemented. linkLocation=https://www.bing.com/images/search?q=%E5%A6%A5%E5%B8%83%E9%9C%89%E7%B4%A0%E5%9C%B0%E5%A1%9E%E7%B1%B3%E6%9D%BE%E6%BB%B4%E7%9C%BC%E6%B6%B2%EF%BC%88%E5%85%B8%E5%BF%85%E6%AE%8A%E7%9C%BC%E6%B6%B2%EF%BC%89%205ml%EF%BC%9A15mg%EF%BC%9A5mg%2A1%E6%94%AF%20s.a.ALCON-COUVREURn.v.%20%E5%AE%8C%E6%95%B4%E8%8D%AF%E7%93%B6%20%E5%A4%96%E7%9B%92, friendlyName=查看包装照片</x:v>
      </x:c>
      <x:c r="J8" s="30" t="e">
        <x:f>HYPERLINK("https://www.iophthal.com/index/drug/detail?id=68","查看说明书/来源")</x:f>
        <x:v>HYPERLINK is not implemented. linkLocation=https://www.iophthal.com/index/drug/detail?id=68, friendlyName=查看说明书/来源</x:v>
      </x:c>
      <x:c r="K8" s="30" t="str">
        <x:v>s.a.ALCON-COUVREURn.v.</x:v>
      </x:c>
      <x:c r="L8" s="30" t="str">
        <x:v>5</x:v>
      </x:c>
    </x:row>
    <x:row r="9" ht="112" customHeight="1">
      <x:c r="A9" s="28" t="n">
        <x:v>4</x:v>
      </x:c>
      <x:c r="B9" s="28" t="str">
        <x:v>妥布霉素滴眼液（托百士眼液）</x:v>
      </x:c>
      <x:c r="C9" s="28" t="str">
        <x:v>5ml:0.3%</x:v>
      </x:c>
      <x:c r="D9" s="28" t="str">
        <x:v>抗菌</x:v>
      </x:c>
      <x:c r="E9" s="28" t="str">
        <x:v>敏感细菌所致外眼及附属器感染</x:v>
      </x:c>
      <x:c r="F9" s="28" t="str">
        <x:v>轻、中度：患眼1～2滴，每4小时1次；重度：每小时2滴，改善后减量。</x:v>
      </x:c>
      <x:c r="G9" s="38" t="str">
        <x:f>IFERROR(_xlfn.IMAGE("https://img0.miaoshoucdn.com/ueditor/php/upload/image/20180603/1527992511862144.jpg","完整药瓶或单剂量支；见来源",0),"查看照片链接")</x:f>
        <x:v>查看照片链接</x:v>
      </x:c>
      <x:c r="H9" s="28" t="str">
        <x:v>网络同款预览（联网）</x:v>
      </x:c>
      <x:c r="I9" s="28" t="e">
        <x:f>HYPERLINK("https://www.miaoshou.com/product/3737.html","查看包装照片")</x:f>
        <x:v>HYPERLINK is not implemented. linkLocation=https://www.miaoshou.com/product/3737.html, friendlyName=查看包装照片</x:v>
      </x:c>
      <x:c r="J9" s="28" t="e">
        <x:f>HYPERLINK("https://www.iophthal.com/index/drug/detail?id=4","查看说明书/来源")</x:f>
        <x:v>HYPERLINK is not implemented. linkLocation=https://www.iophthal.com/index/drug/detail?id=4, friendlyName=查看说明书/来源</x:v>
      </x:c>
      <x:c r="K9" s="28" t="str">
        <x:v>s.a.ALCON-COUVREURn.v.</x:v>
      </x:c>
      <x:c r="L9" s="28" t="str">
        <x:v>6</x:v>
      </x:c>
    </x:row>
    <x:row r="10" ht="112" customHeight="1">
      <x:c r="A10" s="30" t="n">
        <x:v>5</x:v>
      </x:c>
      <x:c r="B10" s="30" t="str">
        <x:v>聚乙二醇滴眼液(思然）</x:v>
      </x:c>
      <x:c r="C10" s="30" t="str">
        <x:v>10ml/支/盒（每ml：聚乙二醇4mg；丙二醇3mg）</x:v>
      </x:c>
      <x:c r="D10" s="30" t="str">
        <x:v>干眼及润滑</x:v>
      </x:c>
      <x:c r="E10" s="30" t="str">
        <x:v>暂时缓解干眼引起的眼部干涩、烧灼及刺激感</x:v>
      </x:c>
      <x:c r="F10" s="30" t="str">
        <x:v>按需滴入患眼1～2滴；原表10ml包装的说明书需进一步核对。</x:v>
      </x:c>
      <x:c r="G10" s="34" t="str">
        <x:v>暂缺完整药瓶照片</x:v>
      </x:c>
      <x:c r="H10" s="36" t="str">
        <x:v>药瓶图待补</x:v>
      </x:c>
      <x:c r="I10" s="30" t="e">
        <x:f>HYPERLINK("https://www.bing.com/images/search?q=%E8%81%9A%E4%B9%99%E4%BA%8C%E9%86%87%E6%BB%B4%E7%9C%BC%E6%B6%B2%28%E6%80%9D%E7%84%B6%EF%BC%89%2010ml/%E6%94%AF/%E7%9B%92%EF%BC%88%E6%AF%8Fml%EF%BC%9A%E8%81%9A%E4%B9%99%E4%BA%8C%E9%86%874mg%EF%BC%9B%E4%B8%99%E4%BA%8C%E9%86%873mg%EF%BC%89%20ALconLaboratories%EF%BC%8Cinc%E3%80%82%20%E5%AE%8C%E6%95%B4%E8%8D%AF%E7%93%B6%20%E5%A4%96%E7%9B%92","查看包装照片")</x:f>
        <x:v>HYPERLINK is not implemented. linkLocation=https://www.bing.com/images/search?q=%E8%81%9A%E4%B9%99%E4%BA%8C%E9%86%87%E6%BB%B4%E7%9C%BC%E6%B6%B2%28%E6%80%9D%E7%84%B6%EF%BC%89%2010ml/%E6%94%AF/%E7%9B%92%EF%BC%88%E6%AF%8Fml%EF%BC%9A%E8%81%9A%E4%B9%99%E4%BA%8C%E9%86%874mg%EF%BC%9B%E4%B8%99%E4%BA%8C%E9%86%873mg%EF%BC%89%20ALconLaboratories%EF%BC%8Cinc%E3%80%82%20%E5%AE%8C%E6%95%B4%E8%8D%AF%E7%93%B6%20%E5%A4%96%E7%9B%92, friendlyName=查看包装照片</x:v>
      </x:c>
      <x:c r="J10" s="36" t="str">
        <x:v>待核原说明书</x:v>
      </x:c>
      <x:c r="K10" s="30" t="str">
        <x:v>ALconLaboratories，inc。</x:v>
      </x:c>
      <x:c r="L10" s="30" t="str">
        <x:v>7</x:v>
      </x:c>
    </x:row>
    <x:row r="11" ht="112" customHeight="1">
      <x:c r="A11" s="28" t="n">
        <x:v>6</x:v>
      </x:c>
      <x:c r="B11" s="28" t="str">
        <x:v>玻璃酸钠滴眼液（海露0.1%）</x:v>
      </x:c>
      <x:c r="C11" s="28" t="str">
        <x:v>0.1%，10ml</x:v>
      </x:c>
      <x:c r="D11" s="28" t="str">
        <x:v>干眼及润滑</x:v>
      </x:c>
      <x:c r="E11" s="28" t="str">
        <x:v>用于干眼症，缓解干眼症状。</x:v>
      </x:c>
      <x:c r="F11" s="28" t="str">
        <x:v>每次1滴，每日3次；必要时可增加次数，若每日超过10次须咨询眼科医生。</x:v>
      </x:c>
      <x:c r="G11" s="38" t="str">
        <x:v>实物照片</x:v>
      </x:c>
      <x:c r="H11" s="28" t="str">
        <x:v>已嵌入原图（瓶+盒）</x:v>
      </x:c>
      <x:c r="I11" s="28" t="e">
        <x:f>HYPERLINK("用户上传实物照片","查看包装照片")</x:f>
        <x:v>HYPERLINK is not implemented. linkLocation=用户上传实物照片, friendlyName=查看包装照片</x:v>
      </x:c>
      <x:c r="J11" s="28" t="e">
        <x:f>HYPERLINK("https://ypk.39.net/2034318/manual/","查看说明书/来源")</x:f>
        <x:v>HYPERLINK is not implemented. linkLocation=https://ypk.39.net/2034318/manual/, friendlyName=查看说明书/来源</x:v>
      </x:c>
      <x:c r="K11" s="28" t="str">
        <x:v>德国URSAPHARMARZNEIMITTELGMBH</x:v>
      </x:c>
      <x:c r="L11" s="28" t="str">
        <x:v>8</x:v>
      </x:c>
    </x:row>
    <x:row r="12" ht="112" customHeight="1">
      <x:c r="A12" s="30" t="n">
        <x:v>7</x:v>
      </x:c>
      <x:c r="B12" s="30" t="str">
        <x:v>左氧氟沙星滴眼液（可乐必妥）0.5%</x:v>
      </x:c>
      <x:c r="C12" s="30" t="str">
        <x:v>5ml：24.4mg</x:v>
      </x:c>
      <x:c r="D12" s="30" t="str">
        <x:v>抗菌</x:v>
      </x:c>
      <x:c r="E12" s="30" t="str">
        <x:v>敏感细菌引起的细菌性结膜炎、角膜炎等眼部感染</x:v>
      </x:c>
      <x:c r="F12" s="30" t="str">
        <x:v>滴眼1滴，每日3次；疗程及年龄限制核对可乐必妥0.5%说明书。</x:v>
      </x:c>
      <x:c r="G12" s="32" t="str">
        <x:f>IFERROR(_xlfn.IMAGE("https://i.ebayimg.com/images/g/PjsAAOSw7Y1nStMX/s-l1200.jpg","完整药瓶或单剂量支；见来源",0),"查看照片链接")</x:f>
        <x:v>查看照片链接</x:v>
      </x:c>
      <x:c r="H12" s="30" t="str">
        <x:v>网络同款预览（联网）</x:v>
      </x:c>
      <x:c r="I12" s="30" t="e">
        <x:f>HYPERLINK("https://www.ebay.com.au/itm/387669615924","查看包装照片")</x:f>
        <x:v>HYPERLINK is not implemented. linkLocation=https://www.ebay.com.au/itm/387669615924, friendlyName=查看包装照片</x:v>
      </x:c>
      <x:c r="J12" s="36" t="str">
        <x:v>待核原说明书</x:v>
      </x:c>
      <x:c r="K12" s="30" t="str">
        <x:v>上药控股有限公司</x:v>
      </x:c>
      <x:c r="L12" s="30" t="str">
        <x:v>9</x:v>
      </x:c>
    </x:row>
    <x:row r="13" ht="112" customHeight="1">
      <x:c r="A13" s="28" t="n">
        <x:v>8</x:v>
      </x:c>
      <x:c r="B13" s="28" t="str">
        <x:v>氟米龙滴眼液</x:v>
      </x:c>
      <x:c r="C13" s="28" t="str">
        <x:v>5ml：5mg</x:v>
      </x:c>
      <x:c r="D13" s="28" t="str">
        <x:v>抗炎</x:v>
      </x:c>
      <x:c r="E13" s="28" t="str">
        <x:v>对糖皮质激素敏感的结膜、角膜、眼前段炎症</x:v>
      </x:c>
      <x:c r="F13" s="28" t="str">
        <x:v>滴眼1～2滴，每日2～4次；按炎症程度调整；混悬液用前摇匀。</x:v>
      </x:c>
      <x:c r="G13" s="38" t="str">
        <x:f>IFERROR(_xlfn.IMAGE("https://file.fh21static.com/fhfile1/M00/64/13/ooYBAGJp8lGAGYhVAAKcKlKhaB4068.jpg","完整药瓶或单剂量支；见来源",0),"查看照片链接")</x:f>
        <x:v>查看照片链接</x:v>
      </x:c>
      <x:c r="H13" s="28" t="str">
        <x:v>网络同款预览（联网）</x:v>
      </x:c>
      <x:c r="I13" s="28" t="e">
        <x:f>HYPERLINK("https://www.fh21.com/drug/22220097/instructions.html","查看包装照片")</x:f>
        <x:v>HYPERLINK is not implemented. linkLocation=https://www.fh21.com/drug/22220097/instructions.html, friendlyName=查看包装照片</x:v>
      </x:c>
      <x:c r="J13" s="28" t="e">
        <x:f>HYPERLINK("https://www.dayi.org.cn/drug/1156350?from=sll","查看说明书/来源")</x:f>
        <x:v>HYPERLINK is not implemented. linkLocation=https://www.dayi.org.cn/drug/1156350?from=sll, friendlyName=查看说明书/来源</x:v>
      </x:c>
      <x:c r="K13" s="28" t="str">
        <x:v>参天制药（中国）有限公司</x:v>
      </x:c>
      <x:c r="L13" s="28" t="str">
        <x:v>10、11</x:v>
      </x:c>
    </x:row>
    <x:row r="14" ht="112" customHeight="1">
      <x:c r="A14" s="30" t="n">
        <x:v>9</x:v>
      </x:c>
      <x:c r="B14" s="30" t="str">
        <x:v>玻璃酸钠滴眼液（爱丽）</x:v>
      </x:c>
      <x:c r="C14" s="30" t="str">
        <x:v>5ml:15mg（0.3%）*1支</x:v>
      </x:c>
      <x:c r="D14" s="30" t="str">
        <x:v>干眼及润滑</x:v>
      </x:c>
      <x:c r="E14" s="30" t="str">
        <x:v>干眼综合征及手术、药物、外伤等造成的角结膜上皮损伤。</x:v>
      </x:c>
      <x:c r="F14" s="30" t="str">
        <x:v>每次1滴，每日5～6次，可随症状调整。</x:v>
      </x:c>
      <x:c r="G14" s="32" t="str">
        <x:f>IFERROR(_xlfn.IMAGE("https://file.fh21static.com/fhfile1/M00/64/4F/oYYBAGJp_e6AZSCxAAGpWMMotac640.jpg","完整药瓶或单剂量支；见来源",0),"查看照片链接")</x:f>
        <x:v>查看照片链接</x:v>
      </x:c>
      <x:c r="H14" s="30" t="str">
        <x:v>网络同款预览（联网）</x:v>
      </x:c>
      <x:c r="I14" s="30" t="e">
        <x:f>HYPERLINK("https://www.fh21.com/drug/22222962/effect.html","查看包装照片")</x:f>
        <x:v>HYPERLINK is not implemented. linkLocation=https://www.fh21.com/drug/22222962/effect.html, friendlyName=查看包装照片</x:v>
      </x:c>
      <x:c r="J14" s="30" t="e">
        <x:f>HYPERLINK("https://ypsm.yzsbh.com/drugFilter.action?interId=Y00000012568&amp;show_navbar=true","查看说明书/来源")</x:f>
        <x:v>HYPERLINK is not implemented. linkLocation=https://ypsm.yzsbh.com/drugFilter.action?interId=Y00000012568&amp;show_navbar=true, friendlyName=查看说明书/来源</x:v>
      </x:c>
      <x:c r="K14" s="30" t="str">
        <x:v>参天制药（中国）有限公司</x:v>
      </x:c>
      <x:c r="L14" s="30" t="str">
        <x:v>12</x:v>
      </x:c>
    </x:row>
    <x:row r="15" ht="112" customHeight="1">
      <x:c r="A15" s="28" t="n">
        <x:v>10</x:v>
      </x:c>
      <x:c r="B15" s="28" t="str">
        <x:v>硝酸毛果芸香碱滴眼液（真瑞）</x:v>
      </x:c>
      <x:c r="C15" s="28" t="str">
        <x:v>5ml:25mg</x:v>
      </x:c>
      <x:c r="D15" s="28" t="str">
        <x:v>降眼压</x:v>
      </x:c>
      <x:c r="E15" s="28" t="str">
        <x:v>多种类型青光眼降眼压，以及散瞳后的缩瞳</x:v>
      </x:c>
      <x:c r="F15" s="28" t="str">
        <x:v>慢性青光眼常用0.5%制剂每次1滴，每日1～4次；急性发作依眼科急救方案。</x:v>
      </x:c>
      <x:c r="G15" s="38" t="str">
        <x:f>IFERROR(_xlfn.IMAGE("https://s.315jiage.cn/upload/2023-08/23080311026505.jpg","完整药瓶或单剂量支；见来源",0),"查看照片链接")</x:f>
        <x:v>查看照片链接</x:v>
      </x:c>
      <x:c r="H15" s="28" t="str">
        <x:v>网络同款预览（联网）</x:v>
      </x:c>
      <x:c r="I15" s="28" t="e">
        <x:f>HYPERLINK("https://www.315jiage.cn/mn84261.aspx","查看包装照片")</x:f>
        <x:v>HYPERLINK is not implemented. linkLocation=https://www.315jiage.cn/mn84261.aspx, friendlyName=查看包装照片</x:v>
      </x:c>
      <x:c r="J15" s="28" t="e">
        <x:f>HYPERLINK("https://ypk.39.net/585319/manual/","查看说明书/来源")</x:f>
        <x:v>HYPERLINK is not implemented. linkLocation=https://ypk.39.net/585319/manual/, friendlyName=查看说明书/来源</x:v>
      </x:c>
      <x:c r="K15" s="28" t="str">
        <x:v>山东博士伦福瑞达制药有限公司</x:v>
      </x:c>
      <x:c r="L15" s="28" t="str">
        <x:v>13</x:v>
      </x:c>
    </x:row>
    <x:row r="16" ht="112" customHeight="1">
      <x:c r="A16" s="30" t="n">
        <x:v>11</x:v>
      </x:c>
      <x:c r="B16" s="30" t="str">
        <x:v>马来酸噻吗洛尔滴眼液</x:v>
      </x:c>
      <x:c r="C16" s="30" t="str">
        <x:v>25mg:5ml</x:v>
      </x:c>
      <x:c r="D16" s="30" t="str">
        <x:v>降眼压</x:v>
      </x:c>
      <x:c r="E16" s="30" t="str">
        <x:v>开角型青光眼及高眼压症的眼压控制</x:v>
      </x:c>
      <x:c r="F16" s="30" t="str">
        <x:v>滴眼1滴，每日2次；须排查哮喘、心动过缓等禁忌。</x:v>
      </x:c>
      <x:c r="G16" s="32" t="str">
        <x:f>IFERROR(_xlfn.IMAGE("https://img0.miaoshoucdn.com/product/watermark/6/93/693b4fadbfc0a16b5caedfc45fd1854b.jpg","完整药瓶或单剂量支；见来源",0),"查看照片链接")</x:f>
        <x:v>查看照片链接</x:v>
      </x:c>
      <x:c r="H16" s="30" t="str">
        <x:v>网络同款预览（联网）</x:v>
      </x:c>
      <x:c r="I16" s="30" t="e">
        <x:f>HYPERLINK("https://www.miaoshou.com/product/177048.html","查看包装照片")</x:f>
        <x:v>HYPERLINK is not implemented. linkLocation=https://www.miaoshou.com/product/177048.html, friendlyName=查看包装照片</x:v>
      </x:c>
      <x:c r="J16" s="36" t="str">
        <x:v>待核原说明书</x:v>
      </x:c>
      <x:c r="K16" s="30" t="str">
        <x:v>山东博士伦福瑞达制药有限公司</x:v>
      </x:c>
      <x:c r="L16" s="30" t="str">
        <x:v>14</x:v>
      </x:c>
    </x:row>
    <x:row r="17" ht="112" customHeight="1">
      <x:c r="A17" s="28" t="n">
        <x:v>12</x:v>
      </x:c>
      <x:c r="B17" s="28" t="str">
        <x:v>醋酸泼尼松龙滴眼液（百力特）</x:v>
      </x:c>
      <x:c r="C17" s="28" t="str">
        <x:v>5ml:50mg</x:v>
      </x:c>
      <x:c r="D17" s="28" t="str">
        <x:v>抗炎</x:v>
      </x:c>
      <x:c r="E17" s="28" t="str">
        <x:v>眼前段对糖皮质激素有反应的非感染性眼部炎症</x:v>
      </x:c>
      <x:c r="F17" s="28" t="str">
        <x:v>滴眼1～2滴，每日2～4次；严重炎症起始可增加频次，逐步减量；用前摇匀。</x:v>
      </x:c>
      <x:c r="G17" s="38" t="str">
        <x:f>IFERROR(_xlfn.IMAGE("https://file.fh21static.com/fhfile1/M00/64/4B/o4YBAGJp_L-AGqQAAAG2kU36f24386.jpg","完整药瓶或单剂量支；见来源",0),"查看照片链接")</x:f>
        <x:v>查看照片链接</x:v>
      </x:c>
      <x:c r="H17" s="28" t="str">
        <x:v>网络同款预览（联网）</x:v>
      </x:c>
      <x:c r="I17" s="28" t="e">
        <x:f>HYPERLINK("https://www.fh21.com/news/gdv61x67xq.html","查看包装照片")</x:f>
        <x:v>HYPERLINK is not implemented. linkLocation=https://www.fh21.com/news/gdv61x67xq.html, friendlyName=查看包装照片</x:v>
      </x:c>
      <x:c r="J17" s="40" t="str">
        <x:v>待核原说明书</x:v>
      </x:c>
      <x:c r="K17" s="28" t="str">
        <x:v>重庆医药集团药特分有限责任公司</x:v>
      </x:c>
      <x:c r="L17" s="28" t="str">
        <x:v>15、16</x:v>
      </x:c>
    </x:row>
    <x:row r="18" ht="112" customHeight="1">
      <x:c r="A18" s="30" t="n">
        <x:v>13</x:v>
      </x:c>
      <x:c r="B18" s="30" t="str">
        <x:v>普拉洛芬滴眼液（普南扑灵）</x:v>
      </x:c>
      <x:c r="C18" s="30" t="str">
        <x:v>5ml：5mg</x:v>
      </x:c>
      <x:c r="D18" s="30" t="str">
        <x:v>抗炎</x:v>
      </x:c>
      <x:c r="E18" s="30" t="str">
        <x:v>眼睑炎、结膜炎、角膜炎、术后炎症等外眼和眼前段炎症。</x:v>
      </x:c>
      <x:c r="F18" s="30" t="str">
        <x:v>通常每次1～2滴，每日4次；根据症状调整，具体核对普南扑灵说明书。</x:v>
      </x:c>
      <x:c r="G18" s="32" t="str">
        <x:f>IFERROR(_xlfn.IMAGE("https://drug-platform.cdn.bcebos.com/online/drug/d1694516838468677770.png","完整药瓶或单剂量支；见来源",0),"查看照片链接")</x:f>
        <x:v>查看照片链接</x:v>
      </x:c>
      <x:c r="H18" s="30" t="str">
        <x:v>网络同款预览（联网）</x:v>
      </x:c>
      <x:c r="I18" s="30" t="e">
        <x:f>HYPERLINK("https://health.baidu.com/malls/goods/db2c_163282748670850800_248858874806525952","查看包装照片")</x:f>
        <x:v>HYPERLINK is not implemented. linkLocation=https://health.baidu.com/malls/goods/db2c_163282748670850800_248858874806525952, friendlyName=查看包装照片</x:v>
      </x:c>
      <x:c r="J18" s="30" t="e">
        <x:f>HYPERLINK("https://www.315jiage.cn/n135975","查看说明书/来源")</x:f>
        <x:v>HYPERLINK is not implemented. linkLocation=https://www.315jiage.cn/n135975, friendlyName=查看说明书/来源</x:v>
      </x:c>
      <x:c r="K18" s="30" t="str">
        <x:v>日本Senju Pharmaceutical Co Ltd Pukusaki</x:v>
      </x:c>
      <x:c r="L18" s="30" t="str">
        <x:v>17</x:v>
      </x:c>
    </x:row>
    <x:row r="19" ht="112" customHeight="1">
      <x:c r="A19" s="28" t="n">
        <x:v>14</x:v>
      </x:c>
      <x:c r="B19" s="28" t="str">
        <x:v>盐酸氮卓斯汀滴眼液（6ml）</x:v>
      </x:c>
      <x:c r="C19" s="28" t="str">
        <x:v>0.05%6ml</x:v>
      </x:c>
      <x:c r="D19" s="28" t="str">
        <x:v>抗过敏</x:v>
      </x:c>
      <x:c r="E19" s="28" t="str">
        <x:v>缓解过敏性结膜炎引起的眼痒。</x:v>
      </x:c>
      <x:c r="F19" s="28" t="str">
        <x:v>每眼1滴，每日2次。</x:v>
      </x:c>
      <x:c r="G19" s="38" t="str">
        <x:f>IFERROR(_xlfn.IMAGE("https://image.jianke.com/mall/product/201909/5d5efd37dcb745338722d82a420f8182.jpg","完整药瓶或单剂量支；见来源",0),"查看照片链接")</x:f>
        <x:v>查看照片链接</x:v>
      </x:c>
      <x:c r="H19" s="28" t="str">
        <x:v>网络同款预览（联网）</x:v>
      </x:c>
      <x:c r="I19" s="28" t="e">
        <x:f>HYPERLINK("https://www.jianke.com/product/158538.html","查看包装照片")</x:f>
        <x:v>HYPERLINK is not implemented. linkLocation=https://www.jianke.com/product/158538.html, friendlyName=查看包装照片</x:v>
      </x:c>
      <x:c r="J19" s="28" t="e">
        <x:f>HYPERLINK("https://www.315jiage.cn/n607255","查看说明书/来源")</x:f>
        <x:v>HYPERLINK is not implemented. linkLocation=https://www.315jiage.cn/n607255, friendlyName=查看说明书/来源</x:v>
      </x:c>
      <x:c r="K19" s="28" t="str">
        <x:v>重庆九州通物流有限公司</x:v>
      </x:c>
      <x:c r="L19" s="28" t="str">
        <x:v>18</x:v>
      </x:c>
    </x:row>
    <x:row r="20" ht="112" customHeight="1">
      <x:c r="A20" s="30" t="n">
        <x:v>15</x:v>
      </x:c>
      <x:c r="B20" s="30" t="str">
        <x:v>盐酸氮卓斯汀滴眼液（10ml）</x:v>
      </x:c>
      <x:c r="C20" s="30" t="str">
        <x:v>0.05%（10ml：5mg）</x:v>
      </x:c>
      <x:c r="D20" s="30" t="str">
        <x:v>抗过敏</x:v>
      </x:c>
      <x:c r="E20" s="30" t="str">
        <x:v>缓解过敏性结膜炎引起的眼痒。</x:v>
      </x:c>
      <x:c r="F20" s="30" t="str">
        <x:v>每眼1滴，每日2次。</x:v>
      </x:c>
      <x:c r="G20" s="34" t="str">
        <x:v>暂缺完整药瓶照片</x:v>
      </x:c>
      <x:c r="H20" s="36" t="str">
        <x:v>药瓶图待补</x:v>
      </x:c>
      <x:c r="I20" s="30" t="e">
        <x:f>HYPERLINK("https://www.bing.com/images/search?q=%E7%9B%90%E9%85%B8%E6%B0%AE%E5%8D%93%E6%96%AF%E6%B1%80%E6%BB%B4%E7%9C%BC%E6%B6%B2%EF%BC%8810ml%EF%BC%89%200.05%25%EF%BC%8810ml%EF%BC%9A5mg%EF%BC%89%20%E5%BE%B7%E5%9B%BDURSAPHARMARZNEIMITTELGMBH%20%E5%AE%8C%E6%95%B4%E8%8D%AF%E7%93%B6%20%E5%A4%96%E7%9B%92","查看包装照片")</x:f>
        <x:v>HYPERLINK is not implemented. linkLocation=https://www.bing.com/images/search?q=%E7%9B%90%E9%85%B8%E6%B0%AE%E5%8D%93%E6%96%AF%E6%B1%80%E6%BB%B4%E7%9C%BC%E6%B6%B2%EF%BC%8810ml%EF%BC%89%200.05%25%EF%BC%8810ml%EF%BC%9A5mg%EF%BC%89%20%E5%BE%B7%E5%9B%BDURSAPHARMARZNEIMITTELGMBH%20%E5%AE%8C%E6%95%B4%E8%8D%AF%E7%93%B6%20%E5%A4%96%E7%9B%92, friendlyName=查看包装照片</x:v>
      </x:c>
      <x:c r="J20" s="30" t="e">
        <x:f>HYPERLINK("https://www.315jiage.cn/n607255","查看说明书/来源")</x:f>
        <x:v>HYPERLINK is not implemented. linkLocation=https://www.315jiage.cn/n607255, friendlyName=查看说明书/来源</x:v>
      </x:c>
      <x:c r="K20" s="30" t="str">
        <x:v>德国URSAPHARMARZNEIMITTELGMBH</x:v>
      </x:c>
      <x:c r="L20" s="30" t="str">
        <x:v>19</x:v>
      </x:c>
    </x:row>
    <x:row r="21" ht="112" customHeight="1">
      <x:c r="A21" s="28" t="n">
        <x:v>16</x:v>
      </x:c>
      <x:c r="B21" s="28" t="str">
        <x:v>复方托吡卡胺滴眼液</x:v>
      </x:c>
      <x:c r="C21" s="28" t="str">
        <x:v>(5ml:25mg:25mg)*1ml</x:v>
      </x:c>
      <x:c r="D21" s="28" t="str">
        <x:v>散瞳／检查</x:v>
      </x:c>
      <x:c r="E21" s="28" t="str">
        <x:v>检查用散瞳及睫状肌麻痹。</x:v>
      </x:c>
      <x:c r="F21" s="28" t="str">
        <x:v>散瞳检查：滴眼1滴，5分钟后再滴1滴；屈光检查方案须按眼科流程。【注意：原表规格“5ml×1ml”文字矛盾，需按实物核对。】</x:v>
      </x:c>
      <x:c r="G21" s="34" t="str">
        <x:v>暂缺完整药瓶照片</x:v>
      </x:c>
      <x:c r="H21" s="40" t="str">
        <x:v>仅有外盒图，药瓶待补</x:v>
      </x:c>
      <x:c r="I21" s="28" t="e">
        <x:f>HYPERLINK("https://www.315jiage.cn/n133691","查看包装照片")</x:f>
        <x:v>HYPERLINK is not implemented. linkLocation=https://www.315jiage.cn/n133691, friendlyName=查看包装照片</x:v>
      </x:c>
      <x:c r="J21" s="28" t="e">
        <x:f>HYPERLINK("https://ypk.39.net/2006217/manual","查看说明书/来源")</x:f>
        <x:v>HYPERLINK is not implemented. linkLocation=https://ypk.39.net/2006217/manual, friendlyName=查看说明书/来源</x:v>
      </x:c>
      <x:c r="K21" s="28" t="str">
        <x:v>沈阳兴齐眼药股份有限公司</x:v>
      </x:c>
      <x:c r="L21" s="28" t="str">
        <x:v>20</x:v>
      </x:c>
    </x:row>
    <x:row r="22" ht="112" customHeight="1">
      <x:c r="A22" s="30" t="n">
        <x:v>17</x:v>
      </x:c>
      <x:c r="B22" s="30" t="str">
        <x:v>盐酸卡替洛尔滴眼液</x:v>
      </x:c>
      <x:c r="C22" s="30" t="str">
        <x:v>2% 5ml：100mg</x:v>
      </x:c>
      <x:c r="D22" s="30" t="str">
        <x:v>降眼压</x:v>
      </x:c>
      <x:c r="E22" s="30" t="str">
        <x:v>青光眼和高眼压症的眼压控制</x:v>
      </x:c>
      <x:c r="F22" s="30" t="str">
        <x:v>滴眼1滴，每日2次；需监测眼压，排查心肺禁忌。</x:v>
      </x:c>
      <x:c r="G22" s="32" t="str">
        <x:f>IFERROR(_xlfn.IMAGE("https://pimg.39.net/yaopin/20190902/04/2019090215_65110_496586.jpg","完整药瓶或单剂量支；见来源",0),"查看照片链接")</x:f>
        <x:v>查看照片链接</x:v>
      </x:c>
      <x:c r="H22" s="30" t="str">
        <x:v>网络同款预览（联网）</x:v>
      </x:c>
      <x:c r="I22" s="30" t="e">
        <x:f>HYPERLINK("https://ypk.39.net/496586/tuji/","查看包装照片")</x:f>
        <x:v>HYPERLINK is not implemented. linkLocation=https://ypk.39.net/496586/tuji/, friendlyName=查看包装照片</x:v>
      </x:c>
      <x:c r="J22" s="36" t="str">
        <x:v>待核原说明书</x:v>
      </x:c>
      <x:c r="K22" s="30" t="str">
        <x:v>中国大冢制药有限公司</x:v>
      </x:c>
      <x:c r="L22" s="30" t="str">
        <x:v>21</x:v>
      </x:c>
    </x:row>
    <x:row r="23" ht="112" customHeight="1">
      <x:c r="A23" s="28" t="n">
        <x:v>18</x:v>
      </x:c>
      <x:c r="B23" s="28" t="str">
        <x:v>盐酸莫西沙星滴眼液</x:v>
      </x:c>
      <x:c r="C23" s="28" t="str">
        <x:v>0.5%（0.6ml：3mg）</x:v>
      </x:c>
      <x:c r="D23" s="28" t="str">
        <x:v>抗菌</x:v>
      </x:c>
      <x:c r="E23" s="28" t="str">
        <x:v>敏感细菌所致眼部细菌性感染</x:v>
      </x:c>
      <x:c r="F23" s="28" t="str">
        <x:v>滴眼1滴，每日3次；如为术后预防或不同适应证须核实说明书。【原厂家原规格说明书待复核。】</x:v>
      </x:c>
      <x:c r="G23" s="34" t="str">
        <x:v>暂缺完整药瓶照片</x:v>
      </x:c>
      <x:c r="H23" s="40" t="str">
        <x:v>药瓶图待补</x:v>
      </x:c>
      <x:c r="I23" s="28" t="e">
        <x:f>HYPERLINK("https://www.bing.com/images/search?q=%E7%9B%90%E9%85%B8%E8%8E%AB%E8%A5%BF%E6%B2%99%E6%98%9F%E6%BB%B4%E7%9C%BC%E6%B6%B2%200.5%25%EF%BC%880.6ml%EF%BC%9A3mg%EF%BC%89%20%E5%8C%97%E4%BA%AC%E6%B1%87%E6%81%A9%E5%85%B0%E5%BE%B7%E5%88%B6%E8%8D%AF%E6%9C%89%E9%99%90%E5%85%AC%E5%8F%B8%20%E5%AE%8C%E6%95%B4%E8%8D%AF%E7%93%B6%20%E5%A4%96%E7%9B%92","查看包装照片")</x:f>
        <x:v>HYPERLINK is not implemented. linkLocation=https://www.bing.com/images/search?q=%E7%9B%90%E9%85%B8%E8%8E%AB%E8%A5%BF%E6%B2%99%E6%98%9F%E6%BB%B4%E7%9C%BC%E6%B6%B2%200.5%25%EF%BC%880.6ml%EF%BC%9A3mg%EF%BC%89%20%E5%8C%97%E4%BA%AC%E6%B1%87%E6%81%A9%E5%85%B0%E5%BE%B7%E5%88%B6%E8%8D%AF%E6%9C%89%E9%99%90%E5%85%AC%E5%8F%B8%20%E5%AE%8C%E6%95%B4%E8%8D%AF%E7%93%B6%20%E5%A4%96%E7%9B%92, friendlyName=查看包装照片</x:v>
      </x:c>
      <x:c r="J23" s="40" t="str">
        <x:v>待核原说明书</x:v>
      </x:c>
      <x:c r="K23" s="28" t="str">
        <x:v>北京汇恩兰德制药有限公司</x:v>
      </x:c>
      <x:c r="L23" s="28" t="str">
        <x:v>22</x:v>
      </x:c>
    </x:row>
    <x:row r="24" ht="112" customHeight="1">
      <x:c r="A24" s="30" t="n">
        <x:v>19</x:v>
      </x:c>
      <x:c r="B24" s="30" t="str">
        <x:v>玻璃酸钠滴眼液0.3%(欧沁）</x:v>
      </x:c>
      <x:c r="C24" s="30" t="str">
        <x:v>0.3%(0.8ml:2.4mg)*5支*4袋</x:v>
      </x:c>
      <x:c r="D24" s="30" t="str">
        <x:v>干眼及润滑</x:v>
      </x:c>
      <x:c r="E24" s="30" t="str">
        <x:v>干眼综合征和术后等所致的角结膜上皮损伤</x:v>
      </x:c>
      <x:c r="F24" s="30" t="str">
        <x:v>滴眼1滴，每日5～6次；按症状增减；单剂量包装用后丢弃。</x:v>
      </x:c>
      <x:c r="G24" s="34" t="str">
        <x:v>暂缺完整药瓶照片</x:v>
      </x:c>
      <x:c r="H24" s="36" t="str">
        <x:v>仅有外盒图，药瓶待补</x:v>
      </x:c>
      <x:c r="I24" s="30" t="e">
        <x:f>HYPERLINK("https://www.jianke.com/product/881921.html","查看包装照片")</x:f>
        <x:v>HYPERLINK is not implemented. linkLocation=https://www.jianke.com/product/881921.html, friendlyName=查看包装照片</x:v>
      </x:c>
      <x:c r="J24" s="30" t="e">
        <x:f>HYPERLINK("https://www.huonland.com/upload/attachment/202312/26/040426/%E7%8E%BB%E7%92%83%E9%85%B8%E9%92%A0%E6%BB%B4%E7%9C%BC%E6%B6%B2.pdf","查看说明书/来源")</x:f>
        <x:v>HYPERLINK is not implemented. linkLocation=https://www.huonland.com/upload/attachment/202312/26/040426/%E7%8E%BB%E7%92%83%E9%85%B8%E9%92%A0%E6%BB%B4%E7%9C%BC%E6%B6%B2.pdf, friendlyName=查看说明书/来源</x:v>
      </x:c>
      <x:c r="K24" s="30" t="str">
        <x:v>北京汇恩兰德制药有限公司</x:v>
      </x:c>
      <x:c r="L24" s="30" t="str">
        <x:v>23</x:v>
      </x:c>
    </x:row>
    <x:row r="25" ht="112" customHeight="1">
      <x:c r="A25" s="28" t="n">
        <x:v>20</x:v>
      </x:c>
      <x:c r="B25" s="28" t="str">
        <x:v>加替沙星滴眼液0.3%5ml</x:v>
      </x:c>
      <x:c r="C25" s="28" t="str">
        <x:v>0.3%5ml</x:v>
      </x:c>
      <x:c r="D25" s="28" t="str">
        <x:v>抗菌</x:v>
      </x:c>
      <x:c r="E25" s="28" t="str">
        <x:v>敏感细菌导致的细菌性结膜炎等感染</x:v>
      </x:c>
      <x:c r="F25" s="28" t="str">
        <x:v>滴眼1滴，每日3次；通常按疗程使用，核对本厂家0.3%说明书。</x:v>
      </x:c>
      <x:c r="G25" s="38" t="str">
        <x:f>IFERROR(_xlfn.IMAGE("https://drug-platform.cdn.bcebos.com/online/drug/d1646105512371609995.png","完整药瓶或单剂量支；见来源",0),"查看照片链接")</x:f>
        <x:v>查看照片链接</x:v>
      </x:c>
      <x:c r="H25" s="28" t="str">
        <x:v>网络同款预览（联网）</x:v>
      </x:c>
      <x:c r="I25" s="28" t="e">
        <x:f>HYPERLINK("https://health.baidu.com/malls/goods/db2c_163282748670850800_413361035686428672","查看包装照片")</x:f>
        <x:v>HYPERLINK is not implemented. linkLocation=https://health.baidu.com/malls/goods/db2c_163282748670850800_413361035686428672, friendlyName=查看包装照片</x:v>
      </x:c>
      <x:c r="J25" s="40" t="str">
        <x:v>待核原说明书</x:v>
      </x:c>
      <x:c r="K25" s="28" t="str">
        <x:v>中国大冢制药有限公司</x:v>
      </x:c>
      <x:c r="L25" s="28" t="str">
        <x:v>24</x:v>
      </x:c>
    </x:row>
    <x:row r="26" ht="112" customHeight="1">
      <x:c r="A26" s="30" t="n">
        <x:v>21</x:v>
      </x:c>
      <x:c r="B26" s="30" t="str">
        <x:v>双氯芬酸钠滴眼液（含玻璃酸钠）</x:v>
      </x:c>
      <x:c r="C26" s="30" t="str">
        <x:v>5ml;5mg</x:v>
      </x:c>
      <x:c r="D26" s="30" t="str">
        <x:v>抗炎</x:v>
      </x:c>
      <x:c r="E26" s="30" t="str">
        <x:v>眼科手术相关炎症、非感染性眼前段炎症及疼痛</x:v>
      </x:c>
      <x:c r="F26" s="30" t="str">
        <x:v>滴眼1滴，每日4次；手术前后方案按相应说明书。【原厂家原规格说明书待复核。】</x:v>
      </x:c>
      <x:c r="G26" s="34" t="str">
        <x:v>暂缺完整药瓶照片</x:v>
      </x:c>
      <x:c r="H26" s="36" t="str">
        <x:v>仅有外盒图，药瓶待补</x:v>
      </x:c>
      <x:c r="I26" s="30" t="e">
        <x:f>HYPERLINK("https://www.fh21.com/news/oqr7lzyood.html","查看包装照片")</x:f>
        <x:v>HYPERLINK is not implemented. linkLocation=https://www.fh21.com/news/oqr7lzyood.html, friendlyName=查看包装照片</x:v>
      </x:c>
      <x:c r="J26" s="36" t="str">
        <x:v>待核原说明书</x:v>
      </x:c>
      <x:c r="K26" s="30" t="str">
        <x:v>珠海联邦制药股份有限公司</x:v>
      </x:c>
      <x:c r="L26" s="30" t="str">
        <x:v>25</x:v>
      </x:c>
    </x:row>
    <x:row r="27" ht="112" customHeight="1">
      <x:c r="A27" s="28" t="n">
        <x:v>22</x:v>
      </x:c>
      <x:c r="B27" s="28" t="str">
        <x:v>人表皮生长因子滴眼液（易贝）</x:v>
      </x:c>
      <x:c r="C27" s="28" t="str">
        <x:v>40000IU(80ug)/4ml</x:v>
      </x:c>
      <x:c r="D27" s="28" t="str">
        <x:v>修复／其他</x:v>
      </x:c>
      <x:c r="E27" s="28" t="str">
        <x:v>角膜上皮损伤修复辅助治疗</x:v>
      </x:c>
      <x:c r="F27" s="28" t="str">
        <x:v>滴眼1～2滴，每日4次；具体以易贝说明书及损伤程度为准。【原厂家原规格说明书待复核。】</x:v>
      </x:c>
      <x:c r="G27" s="34" t="str">
        <x:v>暂缺完整药瓶照片</x:v>
      </x:c>
      <x:c r="H27" s="40" t="str">
        <x:v>仅有外盒图，药瓶待补</x:v>
      </x:c>
      <x:c r="I27" s="28" t="e">
        <x:f>HYPERLINK("https://ypk.39.net/620723/tuji/","查看包装照片")</x:f>
        <x:v>HYPERLINK is not implemented. linkLocation=https://ypk.39.net/620723/tuji/, friendlyName=查看包装照片</x:v>
      </x:c>
      <x:c r="J27" s="40" t="str">
        <x:v>待核原说明书</x:v>
      </x:c>
      <x:c r="K27" s="28" t="str">
        <x:v>桂林华诺威基因药业有限公司</x:v>
      </x:c>
      <x:c r="L27" s="28" t="str">
        <x:v>26</x:v>
      </x:c>
    </x:row>
    <x:row r="28" ht="112" customHeight="1">
      <x:c r="A28" s="30" t="n">
        <x:v>23</x:v>
      </x:c>
      <x:c r="B28" s="30" t="str">
        <x:v>布林佐胺滴眼液（派立明）</x:v>
      </x:c>
      <x:c r="C28" s="30" t="str">
        <x:v>5ml：50mg(1%)</x:v>
      </x:c>
      <x:c r="D28" s="30" t="str">
        <x:v>降眼压</x:v>
      </x:c>
      <x:c r="E28" s="30" t="str">
        <x:v>开角型青光眼及高眼压症降低眼压。</x:v>
      </x:c>
      <x:c r="F28" s="30" t="str">
        <x:v>患眼1滴，每日2次；部分患者可每日3次；混悬液用前摇匀。</x:v>
      </x:c>
      <x:c r="G28" s="34" t="str">
        <x:v>暂缺完整药瓶照片</x:v>
      </x:c>
      <x:c r="H28" s="36" t="str">
        <x:v>药瓶图待补</x:v>
      </x:c>
      <x:c r="I28" s="30" t="e">
        <x:f>HYPERLINK("https://www.bing.com/images/search?q=%E5%B8%83%E6%9E%97%E4%BD%90%E8%83%BA%E6%BB%B4%E7%9C%BC%E6%B6%B2%EF%BC%88%E6%B4%BE%E7%AB%8B%E6%98%8E%EF%BC%89%205ml%EF%BC%9A50mg%281%25%29%20s.a.ALCON-COUVREURn.v.%20%E5%AE%8C%E6%95%B4%E8%8D%AF%E7%93%B6%20%E5%A4%96%E7%9B%92","查看包装照片")</x:f>
        <x:v>HYPERLINK is not implemented. linkLocation=https://www.bing.com/images/search?q=%E5%B8%83%E6%9E%97%E4%BD%90%E8%83%BA%E6%BB%B4%E7%9C%BC%E6%B6%B2%EF%BC%88%E6%B4%BE%E7%AB%8B%E6%98%8E%EF%BC%89%205ml%EF%BC%9A50mg%281%25%29%20s.a.ALCON-COUVREURn.v.%20%E5%AE%8C%E6%95%B4%E8%8D%AF%E7%93%B6%20%E5%A4%96%E7%9B%92, friendlyName=查看包装照片</x:v>
      </x:c>
      <x:c r="J28" s="30" t="e">
        <x:f>HYPERLINK("https://ypk.39.net/2029565/manual/","查看说明书/来源")</x:f>
        <x:v>HYPERLINK is not implemented. linkLocation=https://ypk.39.net/2029565/manual/, friendlyName=查看说明书/来源</x:v>
      </x:c>
      <x:c r="K28" s="30" t="str">
        <x:v>s.a.ALCON-COUVREURn.v.</x:v>
      </x:c>
      <x:c r="L28" s="30" t="str">
        <x:v>63</x:v>
      </x:c>
    </x:row>
    <x:row r="29" ht="112" customHeight="1">
      <x:c r="A29" s="28" t="n">
        <x:v>24</x:v>
      </x:c>
      <x:c r="B29" s="28" t="str">
        <x:v>玻璃酸钠滴眼液(海露0.2%）</x:v>
      </x:c>
      <x:c r="C29" s="28" t="str">
        <x:v>0.2%（10ml：20mg）</x:v>
      </x:c>
      <x:c r="D29" s="28" t="str">
        <x:v>干眼及润滑</x:v>
      </x:c>
      <x:c r="E29" s="28" t="str">
        <x:v>中重度及持久性干眼症眼球表面润滑，缓解干眼症状。</x:v>
      </x:c>
      <x:c r="F29" s="28" t="str">
        <x:v>每次1滴，每日3次；需要时可增加频率。</x:v>
      </x:c>
      <x:c r="G29" s="38" t="str">
        <x:f>IFERROR(_xlfn.IMAGE("https://pimg.39.net/PictureLib/A/f80/c9/20250826/org/1960263314571395083.jpg","完整药瓶或单剂量支；见来源",0),"查看照片链接")</x:f>
        <x:v>查看照片链接</x:v>
      </x:c>
      <x:c r="H29" s="28" t="str">
        <x:v>网络同款预览（联网）</x:v>
      </x:c>
      <x:c r="I29" s="28" t="e">
        <x:f>HYPERLINK("https://ypk.39.net/2310591/","查看包装照片")</x:f>
        <x:v>HYPERLINK is not implemented. linkLocation=https://ypk.39.net/2310591/, friendlyName=查看包装照片</x:v>
      </x:c>
      <x:c r="J29" s="28" t="e">
        <x:f>HYPERLINK("https://ypk.39.net/2310591/manual/","查看说明书/来源")</x:f>
        <x:v>HYPERLINK is not implemented. linkLocation=https://ypk.39.net/2310591/manual/, friendlyName=查看说明书/来源</x:v>
      </x:c>
      <x:c r="K29" s="28" t="str">
        <x:v>宁波瑞霖医药有限公司</x:v>
      </x:c>
      <x:c r="L29" s="28" t="str">
        <x:v>81</x:v>
      </x:c>
    </x:row>
    <x:row r="30" ht="112" customHeight="1">
      <x:c r="A30" s="30" t="n">
        <x:v>25</x:v>
      </x:c>
      <x:c r="B30" s="30" t="str">
        <x:v>布林佐胺噻吗洛尔滴眼液（派立噻）</x:v>
      </x:c>
      <x:c r="C30" s="30" t="str">
        <x:v>5ml：50mg：25mg/支</x:v>
      </x:c>
      <x:c r="D30" s="30" t="str">
        <x:v>降眼压</x:v>
      </x:c>
      <x:c r="E30" s="30" t="str">
        <x:v>开角型青光眼或高眼压症的眼压控制</x:v>
      </x:c>
      <x:c r="F30" s="30" t="str">
        <x:v>滴眼1滴，每日2次；使用前摇匀，注意β受体阻滞剂禁忌。</x:v>
      </x:c>
      <x:c r="G30" s="32" t="str">
        <x:f>IFERROR(_xlfn.IMAGE("https://drug-platform.cdn.bcebos.com/online/drug/b4723c94f2a611efa3e1fa28000db461.jpg","完整药瓶或单剂量支；见来源",0),"查看照片链接")</x:f>
        <x:v>查看照片链接</x:v>
      </x:c>
      <x:c r="H30" s="30" t="str">
        <x:v>网络同款预览（联网）</x:v>
      </x:c>
      <x:c r="I30" s="30" t="e">
        <x:f>HYPERLINK("https://health.baidu.com/malls/goods/db2c_165113176683630936_1054963041574141952","查看包装照片")</x:f>
        <x:v>HYPERLINK is not implemented. linkLocation=https://health.baidu.com/malls/goods/db2c_165113176683630936_1054963041574141952, friendlyName=查看包装照片</x:v>
      </x:c>
      <x:c r="J30" s="36" t="str">
        <x:v>待核原说明书</x:v>
      </x:c>
      <x:c r="K30" s="30" t="str">
        <x:v>比利时Novartis Manufacturing</x:v>
      </x:c>
      <x:c r="L30" s="30" t="str">
        <x:v>82、83</x:v>
      </x:c>
    </x:row>
    <x:row r="31" ht="112" customHeight="1">
      <x:c r="A31" s="28" t="n">
        <x:v>26</x:v>
      </x:c>
      <x:c r="B31" s="28" t="str">
        <x:v>酒石酸溴莫尼定滴眼液</x:v>
      </x:c>
      <x:c r="C31" s="28" t="str">
        <x:v>0.15% 5ml/支</x:v>
      </x:c>
      <x:c r="D31" s="28" t="str">
        <x:v>降眼压</x:v>
      </x:c>
      <x:c r="E31" s="28" t="str">
        <x:v>开角型青光眼和高眼压症的眼压控制</x:v>
      </x:c>
      <x:c r="F31" s="28" t="str">
        <x:v>滴眼1滴，每日3次（约间隔8小时）；核对0.15%剂型说明书。</x:v>
      </x:c>
      <x:c r="G31" s="38" t="str">
        <x:f>IFERROR(_xlfn.IMAGE("https://img.360yao.com/upload/ware/20220530/1653910120913.jpg","完整药瓶或单剂量支；见来源",0),"查看照片链接")</x:f>
        <x:v>查看照片链接</x:v>
      </x:c>
      <x:c r="H31" s="28" t="str">
        <x:v>网络同款预览（联网）</x:v>
      </x:c>
      <x:c r="I31" s="28" t="e">
        <x:f>HYPERLINK("https://www.360yao.com/product/358870.html","查看包装照片")</x:f>
        <x:v>HYPERLINK is not implemented. linkLocation=https://www.360yao.com/product/358870.html, friendlyName=查看包装照片</x:v>
      </x:c>
      <x:c r="J31" s="40" t="str">
        <x:v>待核原说明书</x:v>
      </x:c>
      <x:c r="K31" s="28" t="str">
        <x:v>美国ALLERGAN SALES LLC</x:v>
      </x:c>
      <x:c r="L31" s="28" t="str">
        <x:v>85</x:v>
      </x:c>
    </x:row>
    <x:row r="32" ht="112" customHeight="1">
      <x:c r="A32" s="30" t="n">
        <x:v>27</x:v>
      </x:c>
      <x:c r="B32" s="30" t="str">
        <x:v>拉坦噻吗滴眼液（适利加）</x:v>
      </x:c>
      <x:c r="C32" s="30" t="str">
        <x:v>2.5ml</x:v>
      </x:c>
      <x:c r="D32" s="30" t="str">
        <x:v>降眼压</x:v>
      </x:c>
      <x:c r="E32" s="30" t="str">
        <x:v>β受体阻滞剂效果不足的开角型青光眼、高眼压症</x:v>
      </x:c>
      <x:c r="F32" s="30" t="str">
        <x:v>患眼1滴，每日1次；不应超过每眼每日1滴。</x:v>
      </x:c>
      <x:c r="G32" s="34" t="str">
        <x:v>暂缺完整药瓶照片</x:v>
      </x:c>
      <x:c r="H32" s="36" t="str">
        <x:v>仅有外盒图，药瓶待补</x:v>
      </x:c>
      <x:c r="I32" s="30" t="e">
        <x:f>HYPERLINK("https://www.nbdyf.com/yaopinmulu/2721.html","查看包装照片")</x:f>
        <x:v>HYPERLINK is not implemented. linkLocation=https://www.nbdyf.com/yaopinmulu/2721.html, friendlyName=查看包装照片</x:v>
      </x:c>
      <x:c r="J32" s="30" t="e">
        <x:f>HYPERLINK("https://www.viatris.com.cn/-/media/project/viatris-sites/product-document/20eyedrops.pdf","查看说明书/来源")</x:f>
        <x:v>HYPERLINK is not implemented. linkLocation=https://www.viatris.com.cn/-/media/project/viatris-sites/product-document/20eyedrops.pdf, friendlyName=查看说明书/来源</x:v>
      </x:c>
      <x:c r="K32" s="30" t="str">
        <x:v>Pfizer Manufacturing Beglium NV</x:v>
      </x:c>
      <x:c r="L32" s="30" t="str">
        <x:v>86</x:v>
      </x:c>
    </x:row>
    <x:row r="33" ht="112" customHeight="1">
      <x:c r="A33" s="28" t="n">
        <x:v>28</x:v>
      </x:c>
      <x:c r="B33" s="28" t="str">
        <x:v>硫酸阿托品滴眼液</x:v>
      </x:c>
      <x:c r="C33" s="28" t="str">
        <x:v>0.01%（0.4ml：0.04mg）*15支*2包</x:v>
      </x:c>
      <x:c r="D33" s="28" t="str">
        <x:v>修复／其他</x:v>
      </x:c>
      <x:c r="E33" s="28" t="str">
        <x:v>延缓符合批准适应症条件的儿童近视进展。</x:v>
      </x:c>
      <x:c r="F33" s="28" t="str">
        <x:v>通常每眼1滴，每日1次，宜睡前用；年龄、屈光条件及治疗方案请核对兴齐说明书。</x:v>
      </x:c>
      <x:c r="G33" s="38" t="str">
        <x:f>IFERROR(_xlfn.IMAGE("https://file.bohe.cn/fhfile1/M00/27/EF/oYYBAGf8fGeAWqVMAAcIiDjIFhE180.png","完整药瓶或单剂量支；见来源",0),"查看照片链接")</x:f>
        <x:v>查看照片链接</x:v>
      </x:c>
      <x:c r="H33" s="28" t="str">
        <x:v>网络同款预览（联网）</x:v>
      </x:c>
      <x:c r="I33" s="28" t="e">
        <x:f>HYPERLINK("https://yao.bohe.cn/drug/22257321/instructions.html","查看包装照片")</x:f>
        <x:v>HYPERLINK is not implemented. linkLocation=https://yao.bohe.cn/drug/22257321/instructions.html, friendlyName=查看包装照片</x:v>
      </x:c>
      <x:c r="J33" s="28" t="e">
        <x:f>HYPERLINK("https://yao.bohe.cn/drug/22257321/instructions.html","查看说明书/来源")</x:f>
        <x:v>HYPERLINK is not implemented. linkLocation=https://yao.bohe.cn/drug/22257321/instructions.html, friendlyName=查看说明书/来源</x:v>
      </x:c>
      <x:c r="K33" s="28" t="str">
        <x:v>沈阳兴齐眼药股份有限公司</x:v>
      </x:c>
      <x:c r="L33" s="28" t="str">
        <x:v>89</x:v>
      </x:c>
    </x:row>
    <x:row r="34" ht="112" customHeight="1">
      <x:c r="A34" s="30" t="n">
        <x:v>29</x:v>
      </x:c>
      <x:c r="B34" s="30" t="str">
        <x:v>普拉洛芬滴眼液</x:v>
      </x:c>
      <x:c r="C34" s="30" t="str">
        <x:v>0.1%（5ml:5mg）</x:v>
      </x:c>
      <x:c r="D34" s="30" t="str">
        <x:v>抗炎</x:v>
      </x:c>
      <x:c r="E34" s="30" t="str">
        <x:v>眼睑炎、结膜炎、角膜炎、虹膜睫状体炎、术后炎症等。</x:v>
      </x:c>
      <x:c r="F34" s="30" t="str">
        <x:v>每次1～2滴，每日4次；按症状增减。</x:v>
      </x:c>
      <x:c r="G34" s="32" t="str">
        <x:f>IFERROR(_xlfn.IMAGE("https://drug-platform.cdn.bcebos.com/online/drug/d1695021400999454713.png","完整药瓶或单剂量支；见来源",0),"查看照片链接")</x:f>
        <x:v>查看照片链接</x:v>
      </x:c>
      <x:c r="H34" s="30" t="str">
        <x:v>网络同款预览（联网）</x:v>
      </x:c>
      <x:c r="I34" s="30" t="e">
        <x:f>HYPERLINK("https://health.baidu.com/malls/goods/db2c_161588178152369652_217551535335923712","查看包装照片")</x:f>
        <x:v>HYPERLINK is not implemented. linkLocation=https://health.baidu.com/malls/goods/db2c_161588178152369652_217551535335923712, friendlyName=查看包装照片</x:v>
      </x:c>
      <x:c r="J34" s="30" t="e">
        <x:f>HYPERLINK("https://www.315jiage.cn/n135975","查看说明书/来源")</x:f>
        <x:v>HYPERLINK is not implemented. linkLocation=https://www.315jiage.cn/n135975, friendlyName=查看说明书/来源</x:v>
      </x:c>
      <x:c r="K34" s="30" t="str">
        <x:v>山东海山药业有限公司</x:v>
      </x:c>
      <x:c r="L34" s="30" t="str">
        <x:v>95</x:v>
      </x:c>
    </x:row>
    <x:row r="35" ht="112" customHeight="1">
      <x:c r="A35" s="28" t="n">
        <x:v>30</x:v>
      </x:c>
      <x:c r="B35" s="28" t="str">
        <x:v>曲伏前列素滴眼液（苏为坦）</x:v>
      </x:c>
      <x:c r="C35" s="28" t="str">
        <x:v>2.5ml:0.1mg</x:v>
      </x:c>
      <x:c r="D35" s="28" t="str">
        <x:v>降眼压</x:v>
      </x:c>
      <x:c r="E35" s="28" t="str">
        <x:v>开角型青光眼及高眼压症的降眼压治疗</x:v>
      </x:c>
      <x:c r="F35" s="28" t="str">
        <x:v>每眼1滴，每日1次，通常晚间；超量不会增加降眼压疗效。</x:v>
      </x:c>
      <x:c r="G35" s="34" t="str">
        <x:v>暂缺完整药瓶照片</x:v>
      </x:c>
      <x:c r="H35" s="40" t="str">
        <x:v>仅有外盒图，药瓶待补</x:v>
      </x:c>
      <x:c r="I35" s="28" t="e">
        <x:f>HYPERLINK("https://www.360bzl.com/goods-4252.html","查看包装照片")</x:f>
        <x:v>HYPERLINK is not implemented. linkLocation=https://www.360bzl.com/goods-4252.html, friendlyName=查看包装照片</x:v>
      </x:c>
      <x:c r="J35" s="40" t="str">
        <x:v>待核原说明书</x:v>
      </x:c>
      <x:c r="K35" s="28" t="str">
        <x:v>西班牙SIEGFRIED EIMASNOU,S,A,</x:v>
      </x:c>
      <x:c r="L35" s="28" t="str">
        <x:v>96</x:v>
      </x:c>
    </x:row>
    <x:row r="36" ht="112" customHeight="1">
      <x:c r="A36" s="30" t="n">
        <x:v>31</x:v>
      </x:c>
      <x:c r="B36" s="30" t="str">
        <x:v>双氯芬酸钠滴眼液</x:v>
      </x:c>
      <x:c r="C36" s="30" t="str">
        <x:v>0.4ml*20支</x:v>
      </x:c>
      <x:c r="D36" s="30" t="str">
        <x:v>抗炎</x:v>
      </x:c>
      <x:c r="E36" s="30" t="str">
        <x:v>眼科手术相关炎症、非感染性眼部炎症及疼痛</x:v>
      </x:c>
      <x:c r="F36" s="30" t="str">
        <x:v>滴眼1滴，每日4次；单剂量包装一次性使用；核对具体说明书。</x:v>
      </x:c>
      <x:c r="G36" s="32" t="str">
        <x:f>IFERROR(_xlfn.IMAGE("https://2dhall-pic.ciftis.org/image/20210817/882572075c8d478c9ca3421d654c1c1d.jpg","完整药瓶或单剂量支；见来源",0),"查看照片链接")</x:f>
        <x:v>查看照片链接</x:v>
      </x:c>
      <x:c r="H36" s="30" t="str">
        <x:v>网络同款预览（联网）</x:v>
      </x:c>
      <x:c r="I36" s="30" t="e">
        <x:f>HYPERLINK("https://2d.ciftis.org/view/productmgr/productdetail?productId=46742","查看包装照片")</x:f>
        <x:v>HYPERLINK is not implemented. linkLocation=https://2d.ciftis.org/view/productmgr/productdetail?productId=46742, friendlyName=查看包装照片</x:v>
      </x:c>
      <x:c r="J36" s="36" t="str">
        <x:v>待核原说明书</x:v>
      </x:c>
      <x:c r="K36" s="30" t="str">
        <x:v>重庆医药集团药特分有限制责任公司</x:v>
      </x:c>
      <x:c r="L36" s="30" t="str">
        <x:v>97</x:v>
      </x:c>
    </x:row>
    <x:row r="37" ht="112" customHeight="1">
      <x:c r="A37" s="28" t="n">
        <x:v>32</x:v>
      </x:c>
      <x:c r="B37" s="28" t="str">
        <x:v>托吡卡胺滴眼液</x:v>
      </x:c>
      <x:c r="C37" s="28" t="str">
        <x:v>6ml：30mg</x:v>
      </x:c>
      <x:c r="D37" s="28" t="str">
        <x:v>散瞳／检查</x:v>
      </x:c>
      <x:c r="E37" s="28" t="str">
        <x:v>眼科散瞳及睫状肌麻痹检查</x:v>
      </x:c>
      <x:c r="F37" s="28" t="str">
        <x:v>眼部检查前由医护滴眼，通常1～2滴；实际频次按检查流程。</x:v>
      </x:c>
      <x:c r="G37" s="38" t="str">
        <x:f>IFERROR(_xlfn.IMAGE("https://s.315jiage.cn/upload/2023-09/23093015298567.jpg","完整药瓶或单剂量支；见来源",0),"查看照片链接")</x:f>
        <x:v>查看照片链接</x:v>
      </x:c>
      <x:c r="H37" s="28" t="str">
        <x:v>网络同款预览（联网）</x:v>
      </x:c>
      <x:c r="I37" s="28" t="e">
        <x:f>HYPERLINK("https://www.315jiage.cn/n136397","查看包装照片")</x:f>
        <x:v>HYPERLINK is not implemented. linkLocation=https://www.315jiage.cn/n136397, friendlyName=查看包装照片</x:v>
      </x:c>
      <x:c r="J37" s="40" t="str">
        <x:v>待核原说明书</x:v>
      </x:c>
      <x:c r="K37" s="28" t="str">
        <x:v>山东博士伦福瑞达制药有限公司</x:v>
      </x:c>
      <x:c r="L37" s="28" t="str">
        <x:v>98</x:v>
      </x:c>
    </x:row>
    <x:row r="38" ht="112" customHeight="1">
      <x:c r="A38" s="30" t="n">
        <x:v>33</x:v>
      </x:c>
      <x:c r="B38" s="30" t="str">
        <x:v>盐酸丙美卡因滴眼液（爱尔凯因）</x:v>
      </x:c>
      <x:c r="C38" s="30" t="str">
        <x:v>15ml:75mg</x:v>
      </x:c>
      <x:c r="D38" s="30" t="str">
        <x:v>散瞳／检查</x:v>
      </x:c>
      <x:c r="E38" s="30" t="str">
        <x:v>测眼压、去除角膜异物等眼科表面麻醉</x:v>
      </x:c>
      <x:c r="F38" s="30" t="str">
        <x:v>短时操作前1～2滴；小手术每5～10分钟1～2滴，共1～3次；仅医护操作。</x:v>
      </x:c>
      <x:c r="G38" s="32" t="str">
        <x:f>IFERROR(_xlfn.IMAGE("https://www.mountainside-medical.com/cdn/shop/files/Alcaine-Eye-Drops-Proparacaine-hydrochloride_700x700.jpg?v=1746022791","完整药瓶或单剂量支；见来源",0),"查看照片链接")</x:f>
        <x:v>查看照片链接</x:v>
      </x:c>
      <x:c r="H38" s="30" t="str">
        <x:v>网络同款预览（联网）</x:v>
      </x:c>
      <x:c r="I38" s="30" t="e">
        <x:f>HYPERLINK("https://www.mountainside-medical.com/products/alcaine-eye-drops-proparacaine-hydrochloride-0-5","查看包装照片")</x:f>
        <x:v>HYPERLINK is not implemented. linkLocation=https://www.mountainside-medical.com/products/alcaine-eye-drops-proparacaine-hydrochloride-0-5, friendlyName=查看包装照片</x:v>
      </x:c>
      <x:c r="J38" s="30" t="e">
        <x:f>HYPERLINK("https://swin.zy91.com/pages/m-instruction/m.instruction.html?hospitalCode=1&amp;webHisId=32301","查看说明书/来源")</x:f>
        <x:v>HYPERLINK is not implemented. linkLocation=https://swin.zy91.com/pages/m-instruction/m.instruction.html?hospitalCode=1&amp;webHisId=32301, friendlyName=查看说明书/来源</x:v>
      </x:c>
      <x:c r="K38" s="30" t="str">
        <x:v>ALconLaboratories，inc。</x:v>
      </x:c>
      <x:c r="L38" s="30" t="str">
        <x:v>99</x:v>
      </x:c>
    </x:row>
    <x:row r="39" ht="112" customHeight="1">
      <x:c r="A39" s="28" t="n">
        <x:v>34</x:v>
      </x:c>
      <x:c r="B39" s="28" t="str">
        <x:v>盐酸环喷托酯滴眼液</x:v>
      </x:c>
      <x:c r="C39" s="28" t="str">
        <x:v>15ml</x:v>
      </x:c>
      <x:c r="D39" s="28" t="str">
        <x:v>散瞳／检查</x:v>
      </x:c>
      <x:c r="E39" s="28" t="str">
        <x:v>散瞳与睫状肌麻痹，用于眼科检查。</x:v>
      </x:c>
      <x:c r="F39" s="28" t="str">
        <x:v>成人每眼1滴，必要时5分钟后重复；儿童每眼1滴，必要时10分钟后重复；医护操作。</x:v>
      </x:c>
      <x:c r="G39" s="38" t="str">
        <x:f>IFERROR(_xlfn.IMAGE("https://ailaaj.pk/cdn/shop/files/AC-31-Cyclogyl-1.png?v=1718297550&amp;width=1445","完整药瓶或单剂量支；见来源",0),"查看照片链接")</x:f>
        <x:v>查看照片链接</x:v>
      </x:c>
      <x:c r="H39" s="28" t="str">
        <x:v>网络同款预览（联网）</x:v>
      </x:c>
      <x:c r="I39" s="28" t="e">
        <x:f>HYPERLINK("https://ailaaj.pk/products/cyclogyl-eye-drops-1-15ml","查看包装照片")</x:f>
        <x:v>HYPERLINK is not implemented. linkLocation=https://ailaaj.pk/products/cyclogyl-eye-drops-1-15ml, friendlyName=查看包装照片</x:v>
      </x:c>
      <x:c r="J39" s="28" t="e">
        <x:f>HYPERLINK("https://www.315jiage.cn/n87628","查看说明书/来源")</x:f>
        <x:v>HYPERLINK is not implemented. linkLocation=https://www.315jiage.cn/n87628, friendlyName=查看说明书/来源</x:v>
      </x:c>
      <x:c r="K39" s="28" t="str">
        <x:v>Alcon  NV</x:v>
      </x:c>
      <x:c r="L39" s="28" t="str">
        <x:v>100</x:v>
      </x:c>
    </x:row>
    <x:row r="40" ht="112" customHeight="1">
      <x:c r="A40" s="30" t="n">
        <x:v>35</x:v>
      </x:c>
      <x:c r="B40" s="30" t="str">
        <x:v>左氧氟沙星滴眼液（汇明）</x:v>
      </x:c>
      <x:c r="C40" s="30" t="str">
        <x:v>5ml：24.4mg</x:v>
      </x:c>
      <x:c r="D40" s="30" t="str">
        <x:v>抗菌</x:v>
      </x:c>
      <x:c r="E40" s="30" t="str">
        <x:v>敏感细菌引起的细菌性结膜炎和角膜炎</x:v>
      </x:c>
      <x:c r="F40" s="30" t="str">
        <x:v>滴眼1滴，每日3次；疗程及儿童用法按汇明说明书核对。</x:v>
      </x:c>
      <x:c r="G40" s="32" t="str">
        <x:f>IFERROR(_xlfn.IMAGE("https://rl.lonwin.net/images/uploadify/20230506/724d15b5-47aa-475e-8419-e11fe84f81c8.jpg","完整药瓶或单剂量支；见来源",0),"查看照片链接")</x:f>
        <x:v>查看照片链接</x:v>
      </x:c>
      <x:c r="H40" s="30" t="str">
        <x:v>网络同款预览（联网）</x:v>
      </x:c>
      <x:c r="I40" s="30" t="e">
        <x:f>HYPERLINK("https://rl.lonwin.net/product-detail.aspx?cid=25&amp;id=10013","查看包装照片")</x:f>
        <x:v>HYPERLINK is not implemented. linkLocation=https://rl.lonwin.net/product-detail.aspx?cid=25&amp;id=10013, friendlyName=查看包装照片</x:v>
      </x:c>
      <x:c r="J40" s="36" t="str">
        <x:v>待核原说明书</x:v>
      </x:c>
      <x:c r="K40" s="30" t="str">
        <x:v>北京汇恩兰德制药有限公司</x:v>
      </x:c>
      <x:c r="L40" s="30" t="str">
        <x:v>102、103</x:v>
      </x:c>
    </x:row>
    <x:row r="41" ht="112" customHeight="1">
      <x:c r="A41" s="28" t="n">
        <x:v>36</x:v>
      </x:c>
      <x:c r="B41" s="28" t="str">
        <x:v>七叶洋地黄双苷滴眼液</x:v>
      </x:c>
      <x:c r="C41" s="28" t="str">
        <x:v>0.4ml*10支</x:v>
      </x:c>
      <x:c r="D41" s="28" t="str">
        <x:v>修复／其他</x:v>
      </x:c>
      <x:c r="E41" s="28" t="str">
        <x:v>眼底黄斑变性，以及眼肌性、神经性、适应性眼疲劳</x:v>
      </x:c>
      <x:c r="F41" s="28" t="str">
        <x:v>每眼1滴，每日3次；眼疲劳改善后可每日2次。</x:v>
      </x:c>
      <x:c r="G41" s="38" t="str">
        <x:f>IFERROR(_xlfn.IMAGE("https://image.360lj.com/watermark/prodimage/202011/2020113134422315.jpg","完整药瓶或单剂量支；见来源",0),"查看照片链接")</x:f>
        <x:v>查看照片链接</x:v>
      </x:c>
      <x:c r="H41" s="28" t="str">
        <x:v>网络同款预览（联网）</x:v>
      </x:c>
      <x:c r="I41" s="28" t="e">
        <x:f>HYPERLINK("https://www.liangjian11.com/Product?pcode=723196","查看包装照片")</x:f>
        <x:v>HYPERLINK is not implemented. linkLocation=https://www.liangjian11.com/Product?pcode=723196, friendlyName=查看包装照片</x:v>
      </x:c>
      <x:c r="J41" s="28" t="e">
        <x:f>HYPERLINK("https://www.taixinhospital.com/yycx1/content_2866","查看说明书/来源")</x:f>
        <x:v>HYPERLINK is not implemented. linkLocation=https://www.taixinhospital.com/yycx1/content_2866, friendlyName=查看说明书/来源</x:v>
      </x:c>
      <x:c r="K41" s="28" t="str">
        <x:v>德国视都灵药品有限责任公司</x:v>
      </x:c>
      <x:c r="L41" s="28" t="str">
        <x:v>104</x:v>
      </x:c>
    </x:row>
    <x:row r="42" ht="112" customHeight="1">
      <x:c r="A42" s="30" t="n">
        <x:v>37</x:v>
      </x:c>
      <x:c r="B42" s="30" t="str">
        <x:v>全氟己基辛烷滴眼液</x:v>
      </x:c>
      <x:c r="C42" s="30" t="str">
        <x:v>3ml</x:v>
      </x:c>
      <x:c r="D42" s="30" t="str">
        <x:v>干眼及润滑</x:v>
      </x:c>
      <x:c r="E42" s="30" t="str">
        <x:v>睑板腺功能障碍（MGD）相关干眼。</x:v>
      </x:c>
      <x:c r="F42" s="30" t="str">
        <x:v>每眼每次1滴，每日4次。</x:v>
      </x:c>
      <x:c r="G42" s="32" t="str">
        <x:f>IFERROR(_xlfn.IMAGE("https://www.market-scope.com/files/uploads/images/2025/07/Heng%20Qin%20package.jpg","完整药瓶或单剂量支；见来源",0),"查看照片链接")</x:f>
        <x:v>查看照片链接</x:v>
      </x:c>
      <x:c r="H42" s="30" t="str">
        <x:v>网络同款预览（联网）</x:v>
      </x:c>
      <x:c r="I42" s="30" t="e">
        <x:f>HYPERLINK("https://www.market-scope.com/pages/news/8501/chinese-regulators-approve-perfluorohexyloctane-drops-for-dry-eye-with-mgd","查看包装照片")</x:f>
        <x:v>HYPERLINK is not implemented. linkLocation=https://www.market-scope.com/pages/news/8501/chinese-regulators-approve-perfluorohexyloctane-drops-for-dry-eye-with-mgd, friendlyName=查看包装照片</x:v>
      </x:c>
      <x:c r="J42" s="30" t="e">
        <x:f>HYPERLINK("https://www.hnysfww.com/goods.php?id=13936","查看说明书/来源")</x:f>
        <x:v>HYPERLINK is not implemented. linkLocation=https://www.hnysfww.com/goods.php?id=13936, friendlyName=查看说明书/来源</x:v>
      </x:c>
      <x:c r="K42" s="30" t="str">
        <x:v>成都盛迪医药有限公司</x:v>
      </x:c>
      <x:c r="L42" s="30" t="str">
        <x:v>105</x:v>
      </x:c>
    </x:row>
    <x:row r="43" ht="112" customHeight="1">
      <x:c r="A43" s="28" t="n">
        <x:v>38</x:v>
      </x:c>
      <x:c r="B43" s="28" t="str">
        <x:v>利非司特滴眼液</x:v>
      </x:c>
      <x:c r="C43" s="28" t="str">
        <x:v>5%(0.2ml:10mg)*5支*6袋</x:v>
      </x:c>
      <x:c r="D43" s="28" t="str">
        <x:v>干眼及润滑</x:v>
      </x:c>
      <x:c r="E43" s="28" t="str">
        <x:v>治疗干眼病的体征及症状。</x:v>
      </x:c>
      <x:c r="F43" s="28" t="str">
        <x:v>每眼1滴，每日2次（间隔约12小时），单剂量容器使用后丢弃。</x:v>
      </x:c>
      <x:c r="G43" s="34" t="str">
        <x:v>暂缺完整药瓶照片</x:v>
      </x:c>
      <x:c r="H43" s="40" t="str">
        <x:v>仅有外盒图，药瓶待补</x:v>
      </x:c>
      <x:c r="I43" s="28" t="e">
        <x:f>HYPERLINK("https://www.cnkh.com/productnew/17649.htm","查看包装照片")</x:f>
        <x:v>HYPERLINK is not implemented. linkLocation=https://www.cnkh.com/productnew/17649.htm, friendlyName=查看包装照片</x:v>
      </x:c>
      <x:c r="J43" s="28" t="e">
        <x:f>HYPERLINK("https://www.cnkh.com/productnew/17649.htm","查看说明书/来源")</x:f>
        <x:v>HYPERLINK is not implemented. linkLocation=https://www.cnkh.com/productnew/17649.htm, friendlyName=查看说明书/来源</x:v>
      </x:c>
      <x:c r="K43" s="28" t="str">
        <x:v>成都普什制药有限公司</x:v>
      </x:c>
      <x:c r="L43" s="28" t="str">
        <x:v>106</x:v>
      </x:c>
    </x:row>
  </x:sheetData>
  <x:mergeCells>
    <x:mergeCell ref="A1:L1"/>
    <x:mergeCell ref="A2:L2"/>
    <x:mergeCell ref="A3:L3"/>
  </x:mergeCells>
  <x:pageMargins left="0.7" right="0.7" top="0.75" bottom="0.75" header="0.3" footer="0.3"/>
  <x:drawing xmlns:r="http://schemas.openxmlformats.org/officeDocument/2006/relationships" r:id="R0be4b03b1e2e4052"/>
  <x:tableParts count="1">
    <x:tablePart xmlns:r="http://schemas.openxmlformats.org/officeDocument/2006/relationships" r:id="R760c8939380f490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41" hidden="0" customWidth="1"/>
    <x:col min="3" max="3" width="31" hidden="0" customWidth="1"/>
    <x:col min="4" max="4" width="74" hidden="0" customWidth="1"/>
    <x:col min="5" max="5" width="78" hidden="0" customWidth="1"/>
    <x:col min="6" max="6" width="78" hidden="0" customWidth="1"/>
    <x:col min="7" max="7" width="47" hidden="0" customWidth="1"/>
    <x:col min="8" max="8" width="36" hidden="0" customWidth="1"/>
    <x:col min="9" max="9" width="17" hidden="0" customWidth="1"/>
  </x:cols>
  <x:sheetData>
    <x:row r="1" ht="35" customHeight="1">
      <x:c r="A1" s="43" t="str">
        <x:v>序号</x:v>
      </x:c>
      <x:c r="B1" s="43" t="str">
        <x:v>药品名称</x:v>
      </x:c>
      <x:c r="C1" s="43" t="str">
        <x:v>规格</x:v>
      </x:c>
      <x:c r="D1" s="43" t="str">
        <x:v>图片直链（Microsoft 365预览）</x:v>
      </x:c>
      <x:c r="E1" s="43" t="str">
        <x:v>图片出处网页／检索链接</x:v>
      </x:c>
      <x:c r="F1" s="43" t="str">
        <x:v>药品说明书及适应症来源</x:v>
      </x:c>
      <x:c r="G1" s="43" t="str">
        <x:v>图片核验说明</x:v>
      </x:c>
      <x:c r="H1" s="43" t="str">
        <x:v>用法信息状态</x:v>
      </x:c>
      <x:c r="I1" s="43" t="str">
        <x:v>源表行号</x:v>
      </x:c>
    </x:row>
    <x:row r="2" ht="55" customHeight="1">
      <x:c r="A2" s="26" t="n">
        <x:v>1</x:v>
      </x:c>
      <x:c r="B2" s="26" t="str">
        <x:v>盐酸奥布卡因滴眼液（倍诺喜）</x:v>
      </x:c>
      <x:c r="C2" s="26" t="str">
        <x:v>0.5ml*10支 0.4%</x:v>
      </x:c>
      <x:c r="D2" s="26" t="str">
        <x:v>https://s.315jiage.cn/upload/2026-04/26041813482761.jpg</x:v>
      </x:c>
      <x:c r="E2" s="26" t="str">
        <x:v>https://www.315jiage.cn/n422159</x:v>
      </x:c>
      <x:c r="F2" s="26" t="str">
        <x:v>https://www.liangjian11.com/Product?pcode=951924</x:v>
      </x:c>
      <x:c r="G2" s="26" t="str">
        <x:v>仅外盒</x:v>
      </x:c>
      <x:c r="H2" s="26" t="str">
        <x:v>已取得相关说明书/药学资料</x:v>
      </x:c>
      <x:c r="I2" s="26" t="str">
        <x:v>3</x:v>
      </x:c>
    </x:row>
    <x:row r="3" ht="55" customHeight="1">
      <x:c r="A3" s="26" t="n">
        <x:v>2</x:v>
      </x:c>
      <x:c r="B3" s="26" t="str">
        <x:v>氧氟沙星滴眼液</x:v>
      </x:c>
      <x:c r="C3" s="26" t="str">
        <x:v>5ml:15mg</x:v>
      </x:c>
      <x:c r="D3" s="26" t="str">
        <x:v>https://drug-platform.cdn.bcebos.com/online/drug/18b0d547219811efbbc8fa2600039d34.jpg</x:v>
      </x:c>
      <x:c r="E3" s="26" t="str">
        <x:v>https://health.baidu.com/malls/goods/db2c_164060294452114340_384088016065593344</x:v>
      </x:c>
      <x:c r="F3" s="26" t="str"/>
      <x:c r="G3" s="26" t="str">
        <x:v>仅外盒</x:v>
      </x:c>
      <x:c r="H3" s="26" t="str">
        <x:v>待核厂家具体规格</x:v>
      </x:c>
      <x:c r="I3" s="26" t="str">
        <x:v>4</x:v>
      </x:c>
    </x:row>
    <x:row r="4" ht="55" customHeight="1">
      <x:c r="A4" s="26" t="n">
        <x:v>3</x:v>
      </x:c>
      <x:c r="B4" s="26" t="str">
        <x:v>妥布霉素地塞米松滴眼液（典必殊眼液）</x:v>
      </x:c>
      <x:c r="C4" s="26" t="str">
        <x:v>5ml：15mg：5mg*1支</x:v>
      </x:c>
      <x:c r="D4" s="26" t="str"/>
      <x:c r="E4" s="26" t="str">
        <x:v>https://www.bing.com/images/search?q=%E5%A6%A5%E5%B8%83%E9%9C%89%E7%B4%A0%E5%9C%B0%E5%A1%9E%E7%B1%B3%E6%9D%BE%E6%BB%B4%E7%9C%BC%E6%B6%B2%EF%BC%88%E5%85%B8%E5%BF%85%E6%AE%8A%E7%9C%BC%E6%B6%B2%EF%BC%89%205ml%EF%BC%9A15mg%EF%BC%9A5mg%2A1%E6%94%AF%20s.a.ALCON-COUVREURn.v.%20%E5%AE%8C%E6%95%B4%E8%8D%AF%E7%93%B6%20%E5%A4%96%E7%9B%92</x:v>
      </x:c>
      <x:c r="F4" s="26" t="str">
        <x:v>https://www.iophthal.com/index/drug/detail?id=68</x:v>
      </x:c>
      <x:c r="G4" s="26" t="str">
        <x:v>未找到可核对的完整瓶照</x:v>
      </x:c>
      <x:c r="H4" s="26" t="str">
        <x:v>已取得相关说明书/药学资料</x:v>
      </x:c>
      <x:c r="I4" s="26" t="str">
        <x:v>5</x:v>
      </x:c>
    </x:row>
    <x:row r="5" ht="55" customHeight="1">
      <x:c r="A5" s="26" t="n">
        <x:v>4</x:v>
      </x:c>
      <x:c r="B5" s="26" t="str">
        <x:v>妥布霉素滴眼液（托百士眼液）</x:v>
      </x:c>
      <x:c r="C5" s="26" t="str">
        <x:v>5ml:0.3%</x:v>
      </x:c>
      <x:c r="D5" s="26" t="str">
        <x:v>https://img0.miaoshoucdn.com/ueditor/php/upload/image/20180603/1527992511862144.jpg</x:v>
      </x:c>
      <x:c r="E5" s="26" t="str">
        <x:v>https://www.miaoshou.com/product/3737.html</x:v>
      </x:c>
      <x:c r="F5" s="26" t="str">
        <x:v>https://www.iophthal.com/index/drug/detail?id=4</x:v>
      </x:c>
      <x:c r="G5" s="26" t="str">
        <x:v>瓶+盒；品牌规格匹配</x:v>
      </x:c>
      <x:c r="H5" s="26" t="str">
        <x:v>已取得相关说明书/药学资料</x:v>
      </x:c>
      <x:c r="I5" s="26" t="str">
        <x:v>6</x:v>
      </x:c>
    </x:row>
    <x:row r="6" ht="55" customHeight="1">
      <x:c r="A6" s="26" t="n">
        <x:v>5</x:v>
      </x:c>
      <x:c r="B6" s="26" t="str">
        <x:v>聚乙二醇滴眼液(思然）</x:v>
      </x:c>
      <x:c r="C6" s="26" t="str">
        <x:v>10ml/支/盒（每ml：聚乙二醇4mg；丙二醇3mg）</x:v>
      </x:c>
      <x:c r="D6" s="26" t="str"/>
      <x:c r="E6" s="26" t="str">
        <x:v>https://www.bing.com/images/search?q=%E8%81%9A%E4%B9%99%E4%BA%8C%E9%86%87%E6%BB%B4%E7%9C%BC%E6%B6%B2%28%E6%80%9D%E7%84%B6%EF%BC%89%2010ml/%E6%94%AF/%E7%9B%92%EF%BC%88%E6%AF%8Fml%EF%BC%9A%E8%81%9A%E4%B9%99%E4%BA%8C%E9%86%874mg%EF%BC%9B%E4%B8%99%E4%BA%8C%E9%86%873mg%EF%BC%89%20ALconLaboratories%EF%BC%8Cinc%E3%80%82%20%E5%AE%8C%E6%95%B4%E8%8D%AF%E7%93%B6%20%E5%A4%96%E7%9B%92</x:v>
      </x:c>
      <x:c r="F6" s="26" t="str"/>
      <x:c r="G6" s="26" t="str">
        <x:v>未找到可核对的完整瓶照</x:v>
      </x:c>
      <x:c r="H6" s="26" t="str">
        <x:v>待核厂家具体规格</x:v>
      </x:c>
      <x:c r="I6" s="26" t="str">
        <x:v>7</x:v>
      </x:c>
    </x:row>
    <x:row r="7" ht="55" customHeight="1">
      <x:c r="A7" s="26" t="n">
        <x:v>6</x:v>
      </x:c>
      <x:c r="B7" s="26" t="str">
        <x:v>玻璃酸钠滴眼液（海露0.1%）</x:v>
      </x:c>
      <x:c r="C7" s="26" t="str">
        <x:v>0.1%，10ml</x:v>
      </x:c>
      <x:c r="D7" s="26" t="str"/>
      <x:c r="E7" s="26" t="str">
        <x:v>用户上传实物照片</x:v>
      </x:c>
      <x:c r="F7" s="26" t="str">
        <x:v>https://ypk.39.net/2034318/manual/</x:v>
      </x:c>
      <x:c r="G7" s="26" t="str">
        <x:v>用户提供的瓶+盒；已离线嵌入</x:v>
      </x:c>
      <x:c r="H7" s="26" t="str">
        <x:v>已取得相关说明书/药学资料</x:v>
      </x:c>
      <x:c r="I7" s="26" t="str">
        <x:v>8</x:v>
      </x:c>
    </x:row>
    <x:row r="8" ht="55" customHeight="1">
      <x:c r="A8" s="26" t="n">
        <x:v>7</x:v>
      </x:c>
      <x:c r="B8" s="26" t="str">
        <x:v>左氧氟沙星滴眼液（可乐必妥）0.5%</x:v>
      </x:c>
      <x:c r="C8" s="26" t="str">
        <x:v>5ml：24.4mg</x:v>
      </x:c>
      <x:c r="D8" s="26" t="str">
        <x:v>https://i.ebayimg.com/images/g/PjsAAOSw7Y1nStMX/s-l1200.jpg</x:v>
      </x:c>
      <x:c r="E8" s="26" t="str">
        <x:v>https://www.ebay.com.au/itm/387669615924</x:v>
      </x:c>
      <x:c r="F8" s="26" t="str"/>
      <x:c r="G8" s="26" t="str">
        <x:v>瓶+盒；品牌规格匹配</x:v>
      </x:c>
      <x:c r="H8" s="26" t="str">
        <x:v>待核厂家具体规格</x:v>
      </x:c>
      <x:c r="I8" s="26" t="str">
        <x:v>9</x:v>
      </x:c>
    </x:row>
    <x:row r="9" ht="55" customHeight="1">
      <x:c r="A9" s="26" t="n">
        <x:v>8</x:v>
      </x:c>
      <x:c r="B9" s="26" t="str">
        <x:v>氟米龙滴眼液</x:v>
      </x:c>
      <x:c r="C9" s="26" t="str">
        <x:v>5ml：5mg</x:v>
      </x:c>
      <x:c r="D9" s="26" t="str">
        <x:v>https://file.fh21static.com/fhfile1/M00/64/13/ooYBAGJp8lGAGYhVAAKcKlKhaB4068.jpg</x:v>
      </x:c>
      <x:c r="E9" s="26" t="str">
        <x:v>https://www.fh21.com/drug/22220097/instructions.html</x:v>
      </x:c>
      <x:c r="F9" s="26" t="str">
        <x:v>https://www.dayi.org.cn/drug/1156350?from=sll</x:v>
      </x:c>
      <x:c r="G9" s="26" t="str">
        <x:v>瓶+盒；规格匹配</x:v>
      </x:c>
      <x:c r="H9" s="26" t="str">
        <x:v>待核厂家具体规格</x:v>
      </x:c>
      <x:c r="I9" s="26" t="str">
        <x:v>10、11</x:v>
      </x:c>
    </x:row>
    <x:row r="10" ht="55" customHeight="1">
      <x:c r="A10" s="26" t="n">
        <x:v>9</x:v>
      </x:c>
      <x:c r="B10" s="26" t="str">
        <x:v>玻璃酸钠滴眼液（爱丽）</x:v>
      </x:c>
      <x:c r="C10" s="26" t="str">
        <x:v>5ml:15mg（0.3%）*1支</x:v>
      </x:c>
      <x:c r="D10" s="26" t="str">
        <x:v>https://file.fh21static.com/fhfile1/M00/64/4F/oYYBAGJp_e6AZSCxAAGpWMMotac640.jpg</x:v>
      </x:c>
      <x:c r="E10" s="26" t="str">
        <x:v>https://www.fh21.com/drug/22222962/effect.html</x:v>
      </x:c>
      <x:c r="F10" s="26" t="str">
        <x:v>https://ypsm.yzsbh.com/drugFilter.action?interId=Y00000012568&amp;show_navbar=true</x:v>
      </x:c>
      <x:c r="G10" s="26" t="str">
        <x:v>瓶+盒；0.3%规格匹配</x:v>
      </x:c>
      <x:c r="H10" s="26" t="str">
        <x:v>已取得相关说明书/药学资料</x:v>
      </x:c>
      <x:c r="I10" s="26" t="str">
        <x:v>12</x:v>
      </x:c>
    </x:row>
    <x:row r="11" ht="55" customHeight="1">
      <x:c r="A11" s="26" t="n">
        <x:v>10</x:v>
      </x:c>
      <x:c r="B11" s="26" t="str">
        <x:v>硝酸毛果芸香碱滴眼液（真瑞）</x:v>
      </x:c>
      <x:c r="C11" s="26" t="str">
        <x:v>5ml:25mg</x:v>
      </x:c>
      <x:c r="D11" s="26" t="str">
        <x:v>https://s.315jiage.cn/upload/2023-08/23080311026505.jpg</x:v>
      </x:c>
      <x:c r="E11" s="26" t="str">
        <x:v>https://www.315jiage.cn/mn84261.aspx</x:v>
      </x:c>
      <x:c r="F11" s="26" t="str">
        <x:v>https://ypk.39.net/585319/manual/</x:v>
      </x:c>
      <x:c r="G11" s="26" t="str">
        <x:v>瓶+盒；规格厂家匹配</x:v>
      </x:c>
      <x:c r="H11" s="26" t="str">
        <x:v>已取得相关说明书/药学资料</x:v>
      </x:c>
      <x:c r="I11" s="26" t="str">
        <x:v>13</x:v>
      </x:c>
    </x:row>
    <x:row r="12" ht="55" customHeight="1">
      <x:c r="A12" s="26" t="n">
        <x:v>11</x:v>
      </x:c>
      <x:c r="B12" s="26" t="str">
        <x:v>马来酸噻吗洛尔滴眼液</x:v>
      </x:c>
      <x:c r="C12" s="26" t="str">
        <x:v>25mg:5ml</x:v>
      </x:c>
      <x:c r="D12" s="26" t="str">
        <x:v>https://img0.miaoshoucdn.com/product/watermark/6/93/693b4fadbfc0a16b5caedfc45fd1854b.jpg</x:v>
      </x:c>
      <x:c r="E12" s="26" t="str">
        <x:v>https://www.miaoshou.com/product/177048.html</x:v>
      </x:c>
      <x:c r="F12" s="26" t="str"/>
      <x:c r="G12" s="26" t="str">
        <x:v>瓶+盒；规格厂家匹配</x:v>
      </x:c>
      <x:c r="H12" s="26" t="str">
        <x:v>待核厂家具体规格</x:v>
      </x:c>
      <x:c r="I12" s="26" t="str">
        <x:v>14</x:v>
      </x:c>
    </x:row>
    <x:row r="13" ht="55" customHeight="1">
      <x:c r="A13" s="26" t="n">
        <x:v>12</x:v>
      </x:c>
      <x:c r="B13" s="26" t="str">
        <x:v>醋酸泼尼松龙滴眼液（百力特）</x:v>
      </x:c>
      <x:c r="C13" s="26" t="str">
        <x:v>5ml:50mg</x:v>
      </x:c>
      <x:c r="D13" s="26" t="str">
        <x:v>https://file.fh21static.com/fhfile1/M00/64/4B/o4YBAGJp_L-AGqQAAAG2kU36f24386.jpg</x:v>
      </x:c>
      <x:c r="E13" s="26" t="str">
        <x:v>https://www.fh21.com/news/gdv61x67xq.html</x:v>
      </x:c>
      <x:c r="F13" s="26" t="str"/>
      <x:c r="G13" s="26" t="str">
        <x:v>瓶+盒；规格品牌匹配</x:v>
      </x:c>
      <x:c r="H13" s="26" t="str">
        <x:v>待核厂家具体规格</x:v>
      </x:c>
      <x:c r="I13" s="26" t="str">
        <x:v>15、16</x:v>
      </x:c>
    </x:row>
    <x:row r="14" ht="55" customHeight="1">
      <x:c r="A14" s="26" t="n">
        <x:v>13</x:v>
      </x:c>
      <x:c r="B14" s="26" t="str">
        <x:v>普拉洛芬滴眼液（普南扑灵）</x:v>
      </x:c>
      <x:c r="C14" s="26" t="str">
        <x:v>5ml：5mg</x:v>
      </x:c>
      <x:c r="D14" s="26" t="str">
        <x:v>https://drug-platform.cdn.bcebos.com/online/drug/d1694516838468677770.png</x:v>
      </x:c>
      <x:c r="E14" s="26" t="str">
        <x:v>https://health.baidu.com/malls/goods/db2c_163282748670850800_248858874806525952</x:v>
      </x:c>
      <x:c r="F14" s="26" t="str">
        <x:v>https://www.315jiage.cn/n135975</x:v>
      </x:c>
      <x:c r="G14" s="26" t="str">
        <x:v>瓶+盒；规格厂家匹配</x:v>
      </x:c>
      <x:c r="H14" s="26" t="str">
        <x:v>已取得相关说明书/药学资料</x:v>
      </x:c>
      <x:c r="I14" s="26" t="str">
        <x:v>17</x:v>
      </x:c>
    </x:row>
    <x:row r="15" ht="55" customHeight="1">
      <x:c r="A15" s="26" t="n">
        <x:v>14</x:v>
      </x:c>
      <x:c r="B15" s="26" t="str">
        <x:v>盐酸氮卓斯汀滴眼液（6ml）</x:v>
      </x:c>
      <x:c r="C15" s="26" t="str">
        <x:v>0.05%6ml</x:v>
      </x:c>
      <x:c r="D15" s="26" t="str">
        <x:v>https://image.jianke.com/mall/product/201909/5d5efd37dcb745338722d82a420f8182.jpg</x:v>
      </x:c>
      <x:c r="E15" s="26" t="str">
        <x:v>https://www.jianke.com/product/158538.html</x:v>
      </x:c>
      <x:c r="F15" s="26" t="str">
        <x:v>https://www.315jiage.cn/n607255</x:v>
      </x:c>
      <x:c r="G15" s="26" t="str">
        <x:v>瓶+盒；6ml相同，原表厂家仅为经销商</x:v>
      </x:c>
      <x:c r="H15" s="26" t="str">
        <x:v>已取得相关说明书/药学资料</x:v>
      </x:c>
      <x:c r="I15" s="26" t="str">
        <x:v>18</x:v>
      </x:c>
    </x:row>
    <x:row r="16" ht="55" customHeight="1">
      <x:c r="A16" s="26" t="n">
        <x:v>15</x:v>
      </x:c>
      <x:c r="B16" s="26" t="str">
        <x:v>盐酸氮卓斯汀滴眼液（10ml）</x:v>
      </x:c>
      <x:c r="C16" s="26" t="str">
        <x:v>0.05%（10ml：5mg）</x:v>
      </x:c>
      <x:c r="D16" s="26" t="str"/>
      <x:c r="E16" s="26" t="str">
        <x:v>https://www.bing.com/images/search?q=%E7%9B%90%E9%85%B8%E6%B0%AE%E5%8D%93%E6%96%AF%E6%B1%80%E6%BB%B4%E7%9C%BC%E6%B6%B2%EF%BC%8810ml%EF%BC%89%200.05%25%EF%BC%8810ml%EF%BC%9A5mg%EF%BC%89%20%E5%BE%B7%E5%9B%BDURSAPHARMARZNEIMITTELGMBH%20%E5%AE%8C%E6%95%B4%E8%8D%AF%E7%93%B6%20%E5%A4%96%E7%9B%92</x:v>
      </x:c>
      <x:c r="F16" s="26" t="str">
        <x:v>https://www.315jiage.cn/n607255</x:v>
      </x:c>
      <x:c r="G16" s="26" t="str">
        <x:v>未找到可核对的完整瓶照</x:v>
      </x:c>
      <x:c r="H16" s="26" t="str">
        <x:v>已取得相关说明书/药学资料</x:v>
      </x:c>
      <x:c r="I16" s="26" t="str">
        <x:v>19</x:v>
      </x:c>
    </x:row>
    <x:row r="17" ht="55" customHeight="1">
      <x:c r="A17" s="26" t="n">
        <x:v>16</x:v>
      </x:c>
      <x:c r="B17" s="26" t="str">
        <x:v>复方托吡卡胺滴眼液</x:v>
      </x:c>
      <x:c r="C17" s="26" t="str">
        <x:v>(5ml:25mg:25mg)*1ml</x:v>
      </x:c>
      <x:c r="D17" s="26" t="str"/>
      <x:c r="E17" s="26" t="str">
        <x:v>https://www.315jiage.cn/n133691</x:v>
      </x:c>
      <x:c r="F17" s="26" t="str">
        <x:v>https://ypk.39.net/2006217/manual</x:v>
      </x:c>
      <x:c r="G17" s="26" t="str">
        <x:v>原厂家外盒/实物待核</x:v>
      </x:c>
      <x:c r="H17" s="26" t="str">
        <x:v>已取得相关说明书/药学资料</x:v>
      </x:c>
      <x:c r="I17" s="26" t="str">
        <x:v>20</x:v>
      </x:c>
    </x:row>
    <x:row r="18" ht="55" customHeight="1">
      <x:c r="A18" s="26" t="n">
        <x:v>17</x:v>
      </x:c>
      <x:c r="B18" s="26" t="str">
        <x:v>盐酸卡替洛尔滴眼液</x:v>
      </x:c>
      <x:c r="C18" s="26" t="str">
        <x:v>2% 5ml：100mg</x:v>
      </x:c>
      <x:c r="D18" s="26" t="str">
        <x:v>https://pimg.39.net/yaopin/20190902/04/2019090215_65110_496586.jpg</x:v>
      </x:c>
      <x:c r="E18" s="26" t="str">
        <x:v>https://ypk.39.net/496586/tuji/</x:v>
      </x:c>
      <x:c r="F18" s="26" t="str"/>
      <x:c r="G18" s="26" t="str">
        <x:v>瓶+盒；2%同规格厂家</x:v>
      </x:c>
      <x:c r="H18" s="26" t="str">
        <x:v>待核厂家具体规格</x:v>
      </x:c>
      <x:c r="I18" s="26" t="str">
        <x:v>21</x:v>
      </x:c>
    </x:row>
    <x:row r="19" ht="55" customHeight="1">
      <x:c r="A19" s="26" t="n">
        <x:v>18</x:v>
      </x:c>
      <x:c r="B19" s="26" t="str">
        <x:v>盐酸莫西沙星滴眼液</x:v>
      </x:c>
      <x:c r="C19" s="26" t="str">
        <x:v>0.5%（0.6ml：3mg）</x:v>
      </x:c>
      <x:c r="D19" s="26" t="str"/>
      <x:c r="E19" s="26" t="str">
        <x:v>https://www.bing.com/images/search?q=%E7%9B%90%E9%85%B8%E8%8E%AB%E8%A5%BF%E6%B2%99%E6%98%9F%E6%BB%B4%E7%9C%BC%E6%B6%B2%200.5%25%EF%BC%880.6ml%EF%BC%9A3mg%EF%BC%89%20%E5%8C%97%E4%BA%AC%E6%B1%87%E6%81%A9%E5%85%B0%E5%BE%B7%E5%88%B6%E8%8D%AF%E6%9C%89%E9%99%90%E5%85%AC%E5%8F%B8%20%E5%AE%8C%E6%95%B4%E8%8D%AF%E7%93%B6%20%E5%A4%96%E7%9B%92</x:v>
      </x:c>
      <x:c r="F19" s="26" t="str"/>
      <x:c r="G19" s="26" t="str">
        <x:v>未找到可核对的完整瓶照</x:v>
      </x:c>
      <x:c r="H19" s="26" t="str">
        <x:v>待核厂家具体规格</x:v>
      </x:c>
      <x:c r="I19" s="26" t="str">
        <x:v>22</x:v>
      </x:c>
    </x:row>
    <x:row r="20" ht="55" customHeight="1">
      <x:c r="A20" s="26" t="n">
        <x:v>19</x:v>
      </x:c>
      <x:c r="B20" s="26" t="str">
        <x:v>玻璃酸钠滴眼液0.3%(欧沁）</x:v>
      </x:c>
      <x:c r="C20" s="26" t="str">
        <x:v>0.3%(0.8ml:2.4mg)*5支*4袋</x:v>
      </x:c>
      <x:c r="D20" s="26" t="str">
        <x:v>https://image.jianke.com/mall/product/202303/9451d2ba659442e099f014802d06fd17.jpg</x:v>
      </x:c>
      <x:c r="E20" s="26" t="str">
        <x:v>https://www.jianke.com/product/881921.html</x:v>
      </x:c>
      <x:c r="F20" s="26" t="str">
        <x:v>https://www.huonland.com/upload/attachment/202312/26/040426/%E7%8E%BB%E7%92%83%E9%85%B8%E9%92%A0%E6%BB%B4%E7%9C%BC%E6%B6%B2.pdf</x:v>
      </x:c>
      <x:c r="G20" s="26" t="str">
        <x:v>仅外盒；包装支数可能不同</x:v>
      </x:c>
      <x:c r="H20" s="26" t="str">
        <x:v>已取得相关说明书/药学资料</x:v>
      </x:c>
      <x:c r="I20" s="26" t="str">
        <x:v>23</x:v>
      </x:c>
    </x:row>
    <x:row r="21" ht="55" customHeight="1">
      <x:c r="A21" s="26" t="n">
        <x:v>20</x:v>
      </x:c>
      <x:c r="B21" s="26" t="str">
        <x:v>加替沙星滴眼液0.3%5ml</x:v>
      </x:c>
      <x:c r="C21" s="26" t="str">
        <x:v>0.3%5ml</x:v>
      </x:c>
      <x:c r="D21" s="26" t="str">
        <x:v>https://drug-platform.cdn.bcebos.com/online/drug/d1646105512371609995.png</x:v>
      </x:c>
      <x:c r="E21" s="26" t="str">
        <x:v>https://health.baidu.com/malls/goods/db2c_163282748670850800_413361035686428672</x:v>
      </x:c>
      <x:c r="F21" s="26" t="str"/>
      <x:c r="G21" s="26" t="str">
        <x:v>瓶+盒；同规格厂家</x:v>
      </x:c>
      <x:c r="H21" s="26" t="str">
        <x:v>待核厂家具体规格</x:v>
      </x:c>
      <x:c r="I21" s="26" t="str">
        <x:v>24</x:v>
      </x:c>
    </x:row>
    <x:row r="22" ht="55" customHeight="1">
      <x:c r="A22" s="26" t="n">
        <x:v>21</x:v>
      </x:c>
      <x:c r="B22" s="26" t="str">
        <x:v>双氯芬酸钠滴眼液（含玻璃酸钠）</x:v>
      </x:c>
      <x:c r="C22" s="26" t="str">
        <x:v>5ml;5mg</x:v>
      </x:c>
      <x:c r="D22" s="26" t="str">
        <x:v>https://file.fh21static.com/fhfile1/M00/37/4F/ooYBAGIPX2SAbmtkAAJIVAMM7Tg096.jpg</x:v>
      </x:c>
      <x:c r="E22" s="26" t="str">
        <x:v>https://www.fh21.com/news/oqr7lzyood.html</x:v>
      </x:c>
      <x:c r="F22" s="26" t="str"/>
      <x:c r="G22" s="26" t="str">
        <x:v>仅外盒</x:v>
      </x:c>
      <x:c r="H22" s="26" t="str">
        <x:v>待核厂家具体规格</x:v>
      </x:c>
      <x:c r="I22" s="26" t="str">
        <x:v>25</x:v>
      </x:c>
    </x:row>
    <x:row r="23" ht="55" customHeight="1">
      <x:c r="A23" s="26" t="n">
        <x:v>22</x:v>
      </x:c>
      <x:c r="B23" s="26" t="str">
        <x:v>人表皮生长因子滴眼液（易贝）</x:v>
      </x:c>
      <x:c r="C23" s="26" t="str">
        <x:v>40000IU(80ug)/4ml</x:v>
      </x:c>
      <x:c r="D23" s="26" t="str">
        <x:v>https://pimg.39.net/yaopin/20190903/05/2019090303_2342052_620723.jpg</x:v>
      </x:c>
      <x:c r="E23" s="26" t="str">
        <x:v>https://ypk.39.net/620723/tuji/</x:v>
      </x:c>
      <x:c r="F23" s="26" t="str"/>
      <x:c r="G23" s="26" t="str">
        <x:v>仅外盒</x:v>
      </x:c>
      <x:c r="H23" s="26" t="str">
        <x:v>待核厂家具体规格</x:v>
      </x:c>
      <x:c r="I23" s="26" t="str">
        <x:v>26</x:v>
      </x:c>
    </x:row>
    <x:row r="24" ht="55" customHeight="1">
      <x:c r="A24" s="26" t="n">
        <x:v>23</x:v>
      </x:c>
      <x:c r="B24" s="26" t="str">
        <x:v>布林佐胺滴眼液（派立明）</x:v>
      </x:c>
      <x:c r="C24" s="26" t="str">
        <x:v>5ml：50mg(1%)</x:v>
      </x:c>
      <x:c r="D24" s="26" t="str"/>
      <x:c r="E24" s="26" t="str">
        <x:v>https://www.bing.com/images/search?q=%E5%B8%83%E6%9E%97%E4%BD%90%E8%83%BA%E6%BB%B4%E7%9C%BC%E6%B6%B2%EF%BC%88%E6%B4%BE%E7%AB%8B%E6%98%8E%EF%BC%89%205ml%EF%BC%9A50mg%281%25%29%20s.a.ALCON-COUVREURn.v.%20%E5%AE%8C%E6%95%B4%E8%8D%AF%E7%93%B6%20%E5%A4%96%E7%9B%92</x:v>
      </x:c>
      <x:c r="F24" s="26" t="str">
        <x:v>https://ypk.39.net/2029565/manual/</x:v>
      </x:c>
      <x:c r="G24" s="26" t="str">
        <x:v>未找到可核对的完整瓶照</x:v>
      </x:c>
      <x:c r="H24" s="26" t="str">
        <x:v>已取得相关说明书/药学资料</x:v>
      </x:c>
      <x:c r="I24" s="26" t="str">
        <x:v>63</x:v>
      </x:c>
    </x:row>
    <x:row r="25" ht="55" customHeight="1">
      <x:c r="A25" s="26" t="n">
        <x:v>24</x:v>
      </x:c>
      <x:c r="B25" s="26" t="str">
        <x:v>玻璃酸钠滴眼液(海露0.2%）</x:v>
      </x:c>
      <x:c r="C25" s="26" t="str">
        <x:v>0.2%（10ml：20mg）</x:v>
      </x:c>
      <x:c r="D25" s="26" t="str">
        <x:v>https://pimg.39.net/PictureLib/A/f80/c9/20250826/org/1960263314571395083.jpg</x:v>
      </x:c>
      <x:c r="E25" s="26" t="str">
        <x:v>https://ypk.39.net/2310591/</x:v>
      </x:c>
      <x:c r="F25" s="26" t="str">
        <x:v>https://ypk.39.net/2310591/manual/</x:v>
      </x:c>
      <x:c r="G25" s="26" t="str">
        <x:v>瓶+盒；0.2%规格匹配</x:v>
      </x:c>
      <x:c r="H25" s="26" t="str">
        <x:v>已取得相关说明书/药学资料</x:v>
      </x:c>
      <x:c r="I25" s="26" t="str">
        <x:v>81</x:v>
      </x:c>
    </x:row>
    <x:row r="26" ht="55" customHeight="1">
      <x:c r="A26" s="26" t="n">
        <x:v>25</x:v>
      </x:c>
      <x:c r="B26" s="26" t="str">
        <x:v>布林佐胺噻吗洛尔滴眼液（派立噻）</x:v>
      </x:c>
      <x:c r="C26" s="26" t="str">
        <x:v>5ml：50mg：25mg/支</x:v>
      </x:c>
      <x:c r="D26" s="26" t="str">
        <x:v>https://drug-platform.cdn.bcebos.com/online/drug/b4723c94f2a611efa3e1fa28000db461.jpg</x:v>
      </x:c>
      <x:c r="E26" s="26" t="str">
        <x:v>https://health.baidu.com/malls/goods/db2c_165113176683630936_1054963041574141952</x:v>
      </x:c>
      <x:c r="F26" s="26" t="str"/>
      <x:c r="G26" s="26" t="str">
        <x:v>完整药瓶；品牌规格匹配</x:v>
      </x:c>
      <x:c r="H26" s="26" t="str">
        <x:v>待核厂家具体规格</x:v>
      </x:c>
      <x:c r="I26" s="26" t="str">
        <x:v>82、83</x:v>
      </x:c>
    </x:row>
    <x:row r="27" ht="55" customHeight="1">
      <x:c r="A27" s="26" t="n">
        <x:v>26</x:v>
      </x:c>
      <x:c r="B27" s="26" t="str">
        <x:v>酒石酸溴莫尼定滴眼液</x:v>
      </x:c>
      <x:c r="C27" s="26" t="str">
        <x:v>0.15% 5ml/支</x:v>
      </x:c>
      <x:c r="D27" s="26" t="str">
        <x:v>https://img.360yao.com/upload/ware/20220530/1653910120913.jpg</x:v>
      </x:c>
      <x:c r="E27" s="26" t="str">
        <x:v>https://www.360yao.com/product/358870.html</x:v>
      </x:c>
      <x:c r="F27" s="26" t="str"/>
      <x:c r="G27" s="26" t="str">
        <x:v>瓶+盒；规格品牌匹配</x:v>
      </x:c>
      <x:c r="H27" s="26" t="str">
        <x:v>待核厂家具体规格</x:v>
      </x:c>
      <x:c r="I27" s="26" t="str">
        <x:v>85</x:v>
      </x:c>
    </x:row>
    <x:row r="28" ht="55" customHeight="1">
      <x:c r="A28" s="26" t="n">
        <x:v>27</x:v>
      </x:c>
      <x:c r="B28" s="26" t="str">
        <x:v>拉坦噻吗滴眼液（适利加）</x:v>
      </x:c>
      <x:c r="C28" s="26" t="str">
        <x:v>2.5ml</x:v>
      </x:c>
      <x:c r="D28" s="26" t="str">
        <x:v>https://www.nbdyf.com/yaopinmulu/UploadPhotos/202109/2021092615182550.png</x:v>
      </x:c>
      <x:c r="E28" s="26" t="str">
        <x:v>https://www.nbdyf.com/yaopinmulu/2721.html</x:v>
      </x:c>
      <x:c r="F28" s="26" t="str">
        <x:v>https://www.viatris.com.cn/-/media/project/viatris-sites/product-document/20eyedrops.pdf</x:v>
      </x:c>
      <x:c r="G28" s="26" t="str">
        <x:v>仅外盒</x:v>
      </x:c>
      <x:c r="H28" s="26" t="str">
        <x:v>已取得相关说明书/药学资料</x:v>
      </x:c>
      <x:c r="I28" s="26" t="str">
        <x:v>86</x:v>
      </x:c>
    </x:row>
    <x:row r="29" ht="55" customHeight="1">
      <x:c r="A29" s="26" t="n">
        <x:v>28</x:v>
      </x:c>
      <x:c r="B29" s="26" t="str">
        <x:v>硫酸阿托品滴眼液</x:v>
      </x:c>
      <x:c r="C29" s="26" t="str">
        <x:v>0.01%（0.4ml：0.04mg）*15支*2包</x:v>
      </x:c>
      <x:c r="D29" s="26" t="str">
        <x:v>https://file.bohe.cn/fhfile1/M00/27/EF/oYYBAGf8fGeAWqVMAAcIiDjIFhE180.png</x:v>
      </x:c>
      <x:c r="E29" s="26" t="str">
        <x:v>https://yao.bohe.cn/drug/22257321/instructions.html</x:v>
      </x:c>
      <x:c r="F29" s="26" t="str">
        <x:v>https://yao.bohe.cn/drug/22257321/instructions.html</x:v>
      </x:c>
      <x:c r="G29" s="26" t="str">
        <x:v>完整单剂量支+盒；规格匹配</x:v>
      </x:c>
      <x:c r="H29" s="26" t="str">
        <x:v>已取得相关说明书/药学资料</x:v>
      </x:c>
      <x:c r="I29" s="26" t="str">
        <x:v>89</x:v>
      </x:c>
    </x:row>
    <x:row r="30" ht="55" customHeight="1">
      <x:c r="A30" s="26" t="n">
        <x:v>29</x:v>
      </x:c>
      <x:c r="B30" s="26" t="str">
        <x:v>普拉洛芬滴眼液</x:v>
      </x:c>
      <x:c r="C30" s="26" t="str">
        <x:v>0.1%（5ml:5mg）</x:v>
      </x:c>
      <x:c r="D30" s="26" t="str">
        <x:v>https://drug-platform.cdn.bcebos.com/online/drug/d1695021400999454713.png</x:v>
      </x:c>
      <x:c r="E30" s="26" t="str">
        <x:v>https://health.baidu.com/malls/goods/db2c_161588178152369652_217551535335923712</x:v>
      </x:c>
      <x:c r="F30" s="26" t="str">
        <x:v>https://www.315jiage.cn/n135975</x:v>
      </x:c>
      <x:c r="G30" s="26" t="str">
        <x:v>瓶+盒；厂家规格匹配</x:v>
      </x:c>
      <x:c r="H30" s="26" t="str">
        <x:v>已取得相关说明书/药学资料</x:v>
      </x:c>
      <x:c r="I30" s="26" t="str">
        <x:v>95</x:v>
      </x:c>
    </x:row>
    <x:row r="31" ht="55" customHeight="1">
      <x:c r="A31" s="26" t="n">
        <x:v>30</x:v>
      </x:c>
      <x:c r="B31" s="26" t="str">
        <x:v>曲伏前列素滴眼液（苏为坦）</x:v>
      </x:c>
      <x:c r="C31" s="26" t="str">
        <x:v>2.5ml:0.1mg</x:v>
      </x:c>
      <x:c r="D31" s="26" t="str">
        <x:v>https://img.360bzl.com/images/202107/goods_img/4252_P_1626653127021.jpg</x:v>
      </x:c>
      <x:c r="E31" s="26" t="str">
        <x:v>https://www.360bzl.com/goods-4252.html</x:v>
      </x:c>
      <x:c r="F31" s="26" t="str"/>
      <x:c r="G31" s="26" t="str">
        <x:v>仅外盒</x:v>
      </x:c>
      <x:c r="H31" s="26" t="str">
        <x:v>待核厂家具体规格</x:v>
      </x:c>
      <x:c r="I31" s="26" t="str">
        <x:v>96</x:v>
      </x:c>
    </x:row>
    <x:row r="32" ht="55" customHeight="1">
      <x:c r="A32" s="26" t="n">
        <x:v>31</x:v>
      </x:c>
      <x:c r="B32" s="26" t="str">
        <x:v>双氯芬酸钠滴眼液</x:v>
      </x:c>
      <x:c r="C32" s="26" t="str">
        <x:v>0.4ml*20支</x:v>
      </x:c>
      <x:c r="D32" s="26" t="str">
        <x:v>https://2dhall-pic.ciftis.org/image/20210817/882572075c8d478c9ca3421d654c1c1d.jpg</x:v>
      </x:c>
      <x:c r="E32" s="26" t="str">
        <x:v>https://2d.ciftis.org/view/productmgr/productdetail?productId=46742</x:v>
      </x:c>
      <x:c r="F32" s="26" t="str"/>
      <x:c r="G32" s="26" t="str">
        <x:v>单剂量支+盒；规格匹配，原表厂家疑似经销商</x:v>
      </x:c>
      <x:c r="H32" s="26" t="str">
        <x:v>待核厂家具体规格</x:v>
      </x:c>
      <x:c r="I32" s="26" t="str">
        <x:v>97</x:v>
      </x:c>
    </x:row>
    <x:row r="33" ht="55" customHeight="1">
      <x:c r="A33" s="26" t="n">
        <x:v>32</x:v>
      </x:c>
      <x:c r="B33" s="26" t="str">
        <x:v>托吡卡胺滴眼液</x:v>
      </x:c>
      <x:c r="C33" s="26" t="str">
        <x:v>6ml：30mg</x:v>
      </x:c>
      <x:c r="D33" s="26" t="str">
        <x:v>https://s.315jiage.cn/upload/2023-09/23093015298567.jpg</x:v>
      </x:c>
      <x:c r="E33" s="26" t="str">
        <x:v>https://www.315jiage.cn/n136397</x:v>
      </x:c>
      <x:c r="F33" s="26" t="str"/>
      <x:c r="G33" s="26" t="str">
        <x:v>瓶+盒；厂家规格匹配</x:v>
      </x:c>
      <x:c r="H33" s="26" t="str">
        <x:v>待核厂家具体规格</x:v>
      </x:c>
      <x:c r="I33" s="26" t="str">
        <x:v>98</x:v>
      </x:c>
    </x:row>
    <x:row r="34" ht="55" customHeight="1">
      <x:c r="A34" s="26" t="n">
        <x:v>33</x:v>
      </x:c>
      <x:c r="B34" s="26" t="str">
        <x:v>盐酸丙美卡因滴眼液（爱尔凯因）</x:v>
      </x:c>
      <x:c r="C34" s="26" t="str">
        <x:v>15ml:75mg</x:v>
      </x:c>
      <x:c r="D34" s="26" t="str">
        <x:v>https://www.mountainside-medical.com/cdn/shop/files/Alcaine-Eye-Drops-Proparacaine-hydrochloride_700x700.jpg?v=1746022791</x:v>
      </x:c>
      <x:c r="E34" s="26" t="str">
        <x:v>https://www.mountainside-medical.com/products/alcaine-eye-drops-proparacaine-hydrochloride-0-5</x:v>
      </x:c>
      <x:c r="F34" s="26" t="str">
        <x:v>https://swin.zy91.com/pages/m-instruction/m.instruction.html?hospitalCode=1&amp;webHisId=32301</x:v>
      </x:c>
      <x:c r="G34" s="26" t="str">
        <x:v>完整瓶+盒；海外版包装，国内实物待核</x:v>
      </x:c>
      <x:c r="H34" s="26" t="str">
        <x:v>已取得相关说明书/药学资料</x:v>
      </x:c>
      <x:c r="I34" s="26" t="str">
        <x:v>99</x:v>
      </x:c>
    </x:row>
    <x:row r="35" ht="55" customHeight="1">
      <x:c r="A35" s="26" t="n">
        <x:v>34</x:v>
      </x:c>
      <x:c r="B35" s="26" t="str">
        <x:v>盐酸环喷托酯滴眼液</x:v>
      </x:c>
      <x:c r="C35" s="26" t="str">
        <x:v>15ml</x:v>
      </x:c>
      <x:c r="D35" s="26" t="str">
        <x:v>https://ailaaj.pk/cdn/shop/files/AC-31-Cyclogyl-1.png?v=1718297550&amp;width=1445</x:v>
      </x:c>
      <x:c r="E35" s="26" t="str">
        <x:v>https://ailaaj.pk/products/cyclogyl-eye-drops-1-15ml</x:v>
      </x:c>
      <x:c r="F35" s="26" t="str">
        <x:v>https://www.315jiage.cn/n87628</x:v>
      </x:c>
      <x:c r="G35" s="26" t="str">
        <x:v>完整瓶+盒；海外版包装，国内实物待核</x:v>
      </x:c>
      <x:c r="H35" s="26" t="str">
        <x:v>已取得相关说明书/药学资料</x:v>
      </x:c>
      <x:c r="I35" s="26" t="str">
        <x:v>100</x:v>
      </x:c>
    </x:row>
    <x:row r="36" ht="55" customHeight="1">
      <x:c r="A36" s="26" t="n">
        <x:v>35</x:v>
      </x:c>
      <x:c r="B36" s="26" t="str">
        <x:v>左氧氟沙星滴眼液（汇明）</x:v>
      </x:c>
      <x:c r="C36" s="26" t="str">
        <x:v>5ml：24.4mg</x:v>
      </x:c>
      <x:c r="D36" s="26" t="str">
        <x:v>https://rl.lonwin.net/images/uploadify/20230506/724d15b5-47aa-475e-8419-e11fe84f81c8.jpg</x:v>
      </x:c>
      <x:c r="E36" s="26" t="str">
        <x:v>https://rl.lonwin.net/product-detail.aspx?cid=25&amp;id=10013</x:v>
      </x:c>
      <x:c r="F36" s="26" t="str"/>
      <x:c r="G36" s="26" t="str">
        <x:v>瓶+盒；汇明规格匹配</x:v>
      </x:c>
      <x:c r="H36" s="26" t="str">
        <x:v>待核厂家具体规格</x:v>
      </x:c>
      <x:c r="I36" s="26" t="str">
        <x:v>102、103</x:v>
      </x:c>
    </x:row>
    <x:row r="37" ht="55" customHeight="1">
      <x:c r="A37" s="26" t="n">
        <x:v>36</x:v>
      </x:c>
      <x:c r="B37" s="26" t="str">
        <x:v>七叶洋地黄双苷滴眼液</x:v>
      </x:c>
      <x:c r="C37" s="26" t="str">
        <x:v>0.4ml*10支</x:v>
      </x:c>
      <x:c r="D37" s="26" t="str">
        <x:v>https://image.360lj.com/watermark/prodimage/202011/2020113134422315.jpg</x:v>
      </x:c>
      <x:c r="E37" s="26" t="str">
        <x:v>https://www.liangjian11.com/Product?pcode=723196</x:v>
      </x:c>
      <x:c r="F37" s="26" t="str">
        <x:v>https://www.taixinhospital.com/yycx1/content_2866</x:v>
      </x:c>
      <x:c r="G37" s="26" t="str">
        <x:v>单剂量支+盒；规格匹配</x:v>
      </x:c>
      <x:c r="H37" s="26" t="str">
        <x:v>已取得相关说明书/药学资料</x:v>
      </x:c>
      <x:c r="I37" s="26" t="str">
        <x:v>104</x:v>
      </x:c>
    </x:row>
    <x:row r="38" ht="55" customHeight="1">
      <x:c r="A38" s="26" t="n">
        <x:v>37</x:v>
      </x:c>
      <x:c r="B38" s="26" t="str">
        <x:v>全氟己基辛烷滴眼液</x:v>
      </x:c>
      <x:c r="C38" s="26" t="str">
        <x:v>3ml</x:v>
      </x:c>
      <x:c r="D38" s="26" t="str">
        <x:v>https://www.market-scope.com/files/uploads/images/2025/07/Heng%20Qin%20package.jpg</x:v>
      </x:c>
      <x:c r="E38" s="26" t="str">
        <x:v>https://www.market-scope.com/pages/news/8501/chinese-regulators-approve-perfluorohexyloctane-drops-for-dry-eye-with-mgd</x:v>
      </x:c>
      <x:c r="F38" s="26" t="str">
        <x:v>https://www.hnysfww.com/goods.php?id=13936</x:v>
      </x:c>
      <x:c r="G38" s="26" t="str">
        <x:v>瓶+盒；3ml规格匹配</x:v>
      </x:c>
      <x:c r="H38" s="26" t="str">
        <x:v>已取得相关说明书/药学资料</x:v>
      </x:c>
      <x:c r="I38" s="26" t="str">
        <x:v>105</x:v>
      </x:c>
    </x:row>
    <x:row r="39" ht="55" customHeight="1">
      <x:c r="A39" s="26" t="n">
        <x:v>38</x:v>
      </x:c>
      <x:c r="B39" s="26" t="str">
        <x:v>利非司特滴眼液</x:v>
      </x:c>
      <x:c r="C39" s="26" t="str">
        <x:v>5%(0.2ml:10mg)*5支*6袋</x:v>
      </x:c>
      <x:c r="D39" s="26" t="str">
        <x:v>https://www.cnkh.com/upload/images/2026/05/20/7e9b281cd1ad4dde844690d0804d51dd.jpg</x:v>
      </x:c>
      <x:c r="E39" s="26" t="str">
        <x:v>https://www.cnkh.com/productnew/17649.htm</x:v>
      </x:c>
      <x:c r="F39" s="26" t="str">
        <x:v>https://www.cnkh.com/productnew/17649.htm</x:v>
      </x:c>
      <x:c r="G39" s="26" t="str">
        <x:v>仅外盒</x:v>
      </x:c>
      <x:c r="H39" s="26" t="str">
        <x:v>已取得相关说明书/药学资料</x:v>
      </x:c>
      <x:c r="I39" s="26" t="str">
        <x:v>106</x:v>
      </x:c>
    </x:row>
  </x:sheetData>
  <x:pageMargins left="0.7" right="0.7" top="0.75" bottom="0.75" header="0.3" footer="0.3"/>
  <x:tableParts count="1">
    <x:tablePart xmlns:r="http://schemas.openxmlformats.org/officeDocument/2006/relationships" r:id="R8bdca7741be94fd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38" customHeight="1">
      <x:c r="A1" s="46" t="str">
        <x:v>眼科药房·滴眼液目录｜阅读说明</x:v>
      </x:c>
      <x:c r="B1" s="46" t="str"/>
    </x:row>
    <x:row r="2" ht="66" customHeight="1">
      <x:c r="A2" s="50" t="str">
        <x:v>本版范围</x:v>
      </x:c>
      <x:c r="B2" s="26" t="str">
        <x:v>仅滴眼液。非滴眼液、眼膏、眼用凝胶、注射液、口服药、器械均排除。原表滴眼液42条，按名称+规格去重后38条。</x:v>
      </x:c>
    </x:row>
    <x:row r="3" ht="66" customHeight="1">
      <x:c r="A3" s="50" t="str">
        <x:v>去重方式</x:v>
      </x:c>
      <x:c r="B3" s="26" t="str">
        <x:v>同一名称且原表规格完全相同的重复记录合并；不合并海露0.1%/0.2%等不同浓度，也不合并氮卓斯汀6ml/10ml。末列保留原表行号。</x:v>
      </x:c>
    </x:row>
    <x:row r="4" ht="66" customHeight="1">
      <x:c r="A4" s="50" t="str">
        <x:v>图片呈现</x:v>
      </x:c>
      <x:c r="B4" s="26" t="str">
        <x:v>您上传的海露0.1%完整瓶+盒照片已嵌入Excel文件，离线也能看。其余匹配到的完整瓶照片使用Microsoft 365的IMAGE联网预览，可能需联网并启用联网内容才能显示；不兼容时请点“查看包装照片”。</x:v>
      </x:c>
    </x:row>
    <x:row r="5" ht="66" customHeight="1">
      <x:c r="A5" s="50" t="str">
        <x:v>未获瓶照</x:v>
      </x:c>
      <x:c r="B5" s="26" t="str">
        <x:v>只检索到外盒或品牌/厂家/浓度不匹配的，不将外盒冒充完整药瓶，标记为“药瓶待补”。包装会随年份改版。</x:v>
      </x:c>
    </x:row>
    <x:row r="6" ht="66" customHeight="1">
      <x:c r="A6" s="50" t="str">
        <x:v>适应症与用法</x:v>
      </x:c>
      <x:c r="B6" s="26" t="str">
        <x:v>为所核对药品说明书或公开药学资料的摘要，不是整本说明书的重印。眼压药、激素类、散瞳及表面麻醉药必须按医生方案使用。</x:v>
      </x:c>
    </x:row>
    <x:row r="7" ht="66" customHeight="1">
      <x:c r="A7" s="50" t="str">
        <x:v>说明书核验</x:v>
      </x:c>
      <x:c r="B7" s="26" t="str">
        <x:v>有来源URL时可点主表“查看说明书/来源”；无来源时需按实际药品批准文号、浓度和厂家补核原版说明书。部分原表“厂家”列实为经销公司，不能按此认定生产厂。</x:v>
      </x:c>
    </x:row>
    <x:row r="8" ht="66" customHeight="1">
      <x:c r="A8" s="50" t="str">
        <x:v>包装照片要求</x:v>
      </x:c>
      <x:c r="B8" s="26" t="str">
        <x:v>建议药房补拍：白底、药瓶/单剂量支全貌、正面文字无遮挡、规格清晰、与外盒同框。建议高度一致，便于A3横向打印。</x:v>
      </x:c>
    </x:row>
    <x:row r="9" ht="66" customHeight="1">
      <x:c r="A9" s="50" t="str">
        <x:v>特别留意</x:v>
      </x:c>
      <x:c r="B9" s="26" t="str">
        <x:v>复方托吡卡胺原表规格存在“5ml:25mg:25mg *1ml”矛盾；海露0.1%和0.2%不可互换；外观相似不等于适应症、疗程和禁忌相同。</x:v>
      </x:c>
    </x:row>
    <x:row r="10" ht="66" customHeight="1">
      <x:c r="A10" s="50" t="str">
        <x:v>图片和数据合法使用</x:v>
      </x:c>
      <x:c r="B10" s="26" t="str">
        <x:v>网上药品包装图仅供内部识别与核对，发布前请确认图片授权；药品用法以当前包装附带的有效说明书为准。</x:v>
      </x:c>
    </x:row>
    <x:row r="11" ht="66" customHeight="1">
      <x:c r="A11" s="50" t="str">
        <x:v>版本</x:v>
      </x:c>
      <x:c r="B11" s="26" t="str">
        <x:v>整理日期2026-10-29；来源清单药房药品明细(1).xls。</x:v>
      </x:c>
    </x:row>
  </x:sheetData>
  <x:pageMargins left="0.7" right="0.7" top="0.75" bottom="0.75" header="0.3" footer="0.3"/>
</x:worksheet>
</file>